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871" documentId="114_{641D1876-31C5-4D1F-BB0D-480A259FA086}" xr6:coauthVersionLast="45" xr6:coauthVersionMax="45" xr10:uidLastSave="{EEA6B2C4-0559-4227-B857-7AD85D05E84E}"/>
  <bookViews>
    <workbookView xWindow="3060" yWindow="3120" windowWidth="21600" windowHeight="11505" xr2:uid="{00000000-000D-0000-FFFF-FFFF00000000}"/>
  </bookViews>
  <sheets>
    <sheet name="TaskingSheet" sheetId="1" r:id="rId1"/>
    <sheet name="Archive" sheetId="2" r:id="rId2"/>
    <sheet name="Sheet3" sheetId="3" state="hidden" r:id="rId3"/>
  </sheet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AL10" i="1" l="1"/>
  <c r="AK10" i="1"/>
  <c r="AP7" i="1" l="1"/>
  <c r="B3" i="1" l="1"/>
  <c r="D7" i="1" l="1"/>
  <c r="AQ7" i="1" l="1" a="1"/>
  <c r="AQ7" i="1" s="1"/>
  <c r="AL7" i="1"/>
  <c r="AK7" i="1"/>
  <c r="A7" i="1"/>
  <c r="F6" i="1" a="1"/>
  <c r="AG6" i="1" s="1"/>
  <c r="F5" i="1" a="1"/>
  <c r="AG5" i="1" s="1"/>
  <c r="F4" i="1" a="1"/>
  <c r="AH4" i="1" s="1"/>
  <c r="B4" i="1" a="1"/>
  <c r="B4" i="1" s="1"/>
  <c r="AF11" i="1"/>
  <c r="H11" i="1"/>
  <c r="AD11" i="1"/>
  <c r="T11" i="1"/>
  <c r="AC11" i="1"/>
  <c r="O11" i="1"/>
  <c r="X11" i="1"/>
  <c r="AH11" i="1"/>
  <c r="AE11" i="1"/>
  <c r="Z11" i="1"/>
  <c r="F11" i="1"/>
  <c r="L11" i="1"/>
  <c r="AB11" i="1"/>
  <c r="I11" i="1"/>
  <c r="K11" i="1"/>
  <c r="V11" i="1"/>
  <c r="AI11" i="1"/>
  <c r="Q11" i="1"/>
  <c r="M11" i="1"/>
  <c r="P11" i="1"/>
  <c r="AA11" i="1"/>
  <c r="U11" i="1"/>
  <c r="W11" i="1"/>
  <c r="J11" i="1"/>
  <c r="S11" i="1"/>
  <c r="G11" i="1"/>
  <c r="Y11" i="1"/>
  <c r="N11" i="1"/>
  <c r="AK11" i="1"/>
  <c r="AG11" i="1"/>
  <c r="AJ11" i="1"/>
  <c r="R11" i="1"/>
  <c r="AO7" i="1" l="1" a="1"/>
  <c r="AO7" i="1" s="1"/>
  <c r="B2" i="1" a="1"/>
  <c r="B2" i="1" s="1"/>
  <c r="D5"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<sst xmlns="http://schemas.openxmlformats.org/spreadsheetml/2006/main" count="465" uniqueCount="150">
  <si>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</si>
  <si>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</si>
  <si>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</si>
  <si>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</si>
  <si>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</si>
  <si>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</si>
  <si>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</si>
  <si>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</si>
  <si>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</si>
  <si>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</si>
  <si>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</si>
  <si>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</si>
  <si>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</si>
  <si>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</si>
  <si>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</si>
  <si>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</si>
  <si>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</si>
  <si>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</si>
  <si>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</si>
  <si>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</si>
  <si>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</si>
  <si>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</si>
  <si>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</si>
  <si>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</si>
  <si>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</si>
  <si>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</si>
  <si>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</si>
  <si>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</si>
  <si>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</si>
  <si>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</si>
  <si>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</si>
  <si>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</si>
  <si>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</si>
  <si>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</si>
  <si>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</si>
  <si>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</si>
  <si>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</si>
  <si>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</si>
  <si>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</si>
  <si>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</si>
  <si>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</si>
  <si>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</si>
  <si>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</si>
  <si>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</si>
  <si>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</si>
  <si>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</si>
  <si>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</si>
  <si>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</si>
  <si>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</si>
  <si>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</si>
  <si>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</si>
  <si>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</si>
  <si>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</si>
  <si>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</si>
  <si>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</si>
  <si>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</si>
  <si>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</si>
  <si>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</si>
  <si>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</si>
  <si>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</si>
  <si>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</si>
  <si>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</si>
  <si>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</si>
  <si>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</si>
  <si>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</si>
  <si>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</si>
  <si>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</si>
  <si>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</si>
  <si>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</si>
  <si>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</si>
  <si>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</si>
  <si>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</si>
  <si>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</si>
  <si>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</si>
  <si>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</si>
  <si>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</si>
  <si>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</si>
  <si>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</si>
  <si>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</si>
  <si>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</si>
  <si>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</si>
  <si>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</si>
  <si>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</si>
  <si>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</si>
  <si>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</si>
  <si>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</si>
  <si>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</si>
  <si>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</si>
  <si>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</si>
  <si>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</si>
  <si>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</si>
  <si>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</si>
  <si>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</si>
  <si>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</si>
  <si>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</si>
  <si>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</si>
  <si>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</si>
  <si>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</si>
  <si>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</si>
  <si>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Dawn_Berube</t>
  </si>
  <si>
    <t>February</t>
  </si>
  <si>
    <t>01.07.20: discuss crosswalked data w/ TFO GIS Spec, review notes and correspondence for action items</t>
  </si>
  <si>
    <t>01.02.20: look into domains not assigned, correspondence w/ GIS team
01.08-01.09.20: update readme, edit xmls as needed, correspondence w/ team regarding domains and nulls in schema, add xmls to SDE, dorrespondence regarding updated SDE</t>
  </si>
  <si>
    <t xml:space="preserve">01.21.20: meeting </t>
  </si>
  <si>
    <t xml:space="preserve">01.17.20: review news letter update and scheduling for upcoming test env
01.21.20: meeting, discussion w/ acting lead 
01.24.20: discussion w/ acting lead regarding testing environment and upcoming RIPs </t>
  </si>
  <si>
    <t>01.15.20: review various text for logical accuracy, update metadata templates for reference, correspondence w/ Nick and AZ GIS
01.21.20: review arccmap options settings for how to do for GIS Spec (metadata best practices)</t>
  </si>
  <si>
    <t>01.02.20: finish xml, update mxd and word doc for Sprint
01.07.20: discuss attribute issue w/ GIS Spec and SDE Admin</t>
  </si>
  <si>
    <t xml:space="preserve">01.09.20: assist cadtech on historic google imagery </t>
  </si>
  <si>
    <t>01.01.20: Holiday
01.06.20: Out sick
1.20.20: Holiday
1.22.20: Out sick
01.27-02.03 PTO</t>
  </si>
  <si>
    <t>01.02.20: correspondence w/ ASDO Range spec
01.13.20: telecom w/ range spec, discussion w/ GIS spec regarding dashboards, set up meeting for qaqc,figure out how to share screen etc
01.14.20: telecom w/ range tech in ASDO to review data, update readme, send correspondence followup
01.15.20: review QAQC results for pasture name and add info to agenda for state call
01.16.20: correspondence w/ ASDO range tech regarding pasture names and private/state issues
01.17.20: readme email spreadsheet review
01.22.20: follow up regarding tasking, pending resonse from ASDO
01.24.20: check metadata and compare to incoming deliverable metadata for consistancy, based on deliverable that came in from Bureau of Reclamation, update readme for action items, need to continue metadata</t>
  </si>
  <si>
    <t>01.13.20: review readmes and action items for Wilderness and WSR. Meeting and data deliverables upcoming, correspondence w/ acting lead and Nick, refresh, review oth_rel_lnds poly deliverable and attribution 
01.14.20: Intra-agency meeting, add brief action items to readme, update readme w/ meeting notes, brief discussion inhouse regarding NLCS and leads. 
01.15.20: review correspondence for WCIU ask and readme add xml update
01.24.20: add action item to GIS planner, based on WCIU ask, email acting lead and GIS Spec regarding action items upcoming (eg: KFO data), need metadata updated</t>
  </si>
  <si>
    <t>01.02.20: discuss tasking w/ GIS spec for Sprint 8 Step and metadata, start readme, start schema review
01.03-01.10.20: update readme, discussion w/ LHFO regarding archiving, review former metadata, add process steps from archived footprints
01.14.20: metadata and format readme more 
01.15.20: review historic doc related tables in SDE, guidelines, and email NOC sprint, continue generating metadata, update readme, xmls
01.16-22.20: metadata.</t>
  </si>
  <si>
    <t>01.23.20: review powerpoint on attribution and correspondence</t>
  </si>
  <si>
    <t>01.07.20: cleanout google drive docs
01.08.20: list potential action items for 2020 for me and SDE Admin
01.15.20: added domain issues to planner for review, correspondence w/ State Data Admin, archive emails regarding this, review attribute transfer tool info
01.23.20: fix labeling on field boundary map, former ask from GIS Planner. Draft revised but not completed</t>
  </si>
  <si>
    <t>01.10.20: 1:1 w/ acting leads, update tasking list, add progress to statewide call agenda
01.16.20: Statewide GIS call, tasking conversation w/ SDE admin regarding domain issues
01.17.20: followup from yesterday discussions, review agenda from rest of meeting missed GIS spec and SDE Admin, brief discussion w/ State Data Admin
01.21.20: RECO meeting regarding file cleanup, inhouse GIS meeting
01.22.20: reviewed tasks in GIS Planner
01.24.20: brief discussion w/ SDE Admin for upcoming tasking, assist CAD tech with outlook calendar additions for GIS group</t>
  </si>
  <si>
    <t>01.23.20: correspondence w/ Bureau of Rec, discuss w/ GIS spec and Cultural lead regarding deliverable sent directly to me. Corresponce w/ Lands lead (cultural) for map request and tasking, review data, set up folders, draft readme, start action item list, start mxd, add tasking to GIS Planner
01.24.20: discuss map request and deliverables with GIS spec and follow up acting lead, set up mxd and review</t>
  </si>
  <si>
    <t>01.13.19: review agenda for upcoming meeting, review action item list and readme
01.16.20: working group meeting
01.17.20: update readme and review Sharepoint site, action items, consider new tasking, brief discussion w/ acting lead
01.21&amp;23: read through contract work flow doc used for KFO, made comments
01.24.20: review ask in GIS Planner request from SME, correspondence w/ GIS spec and acting lead for gis acres/multiple versions issues, review work flow doc comments, mxd started for ask</t>
  </si>
  <si>
    <t>January_2020</t>
  </si>
  <si>
    <t>02.05.20: brief discussion w/ Data Admin regarding process steps for creating SMA boundaries (for metadata), add new task to GIS Planner</t>
  </si>
  <si>
    <t>02.05.20: follow up correspondence w/ State Data Admin for schema updates (eg: nulls and domains, Sprint 8 Step discussion)</t>
  </si>
  <si>
    <t>02.06.20: update readme and reformat (old version), reformat folder, review land disposal correspondence and reference in readme</t>
  </si>
  <si>
    <t>02.05.20: upload xmls to SDE and update readme, confirm data validated in Navigator, review legacy spreadsheet and email field office
02.06.20: review additional legacy spreadsheet and crosscheck against SDE, file management in QAQC folder
02.07.20: redo fper xmls, some info didnt upload correctly into xlm??? also issue w/ ADMU, reuploaded to SDE</t>
  </si>
  <si>
    <t>01.02.20: 2019 timesheet complete and scheduling, correspondence w/ GIS team for null value domains and protocol
01.03.20: master tracker and new timesheet, blm_acres correspondence w/ Alec, correspondence w/ State Admin regarding domains for adm_unit_cd etc
01.07.20: wkly update (2 wks worth),timesheet, emails and scheduling, 1:1 w/ Nick
01.08.20: huddle, emails calendar
01.09.20: learning outlook and testing the new format
01.10.20: timesheet, review domain access list and global domains
01.13.19: wkly update draft including timesheet review, month graph reviews, correspondence emails, office 365 troubleshoot, 1:1 w/ Nick, update report for overall AZ tasking
01.14.20: finalize wkly update and send
01.15.20: reviewed group chat material and correspondence w/ Nick for file management
01.16.20: kickoff Sprint meeting, restart issues due to migration (365)
01.17.20: scheduling and timesheet, outlook, restart issues cont from migration (citrix slow)
01.21.20: wkly update, restart excel not working, fix timesheet, review schedule for today
01.23.20: 1:1 w/ Nick, update outlook signature, restart, scheduling, migration meeting w/ Sprint team (no audio access)
01.24.20: helpdesk ticket for outlook login and teams, brief discussion w/ Nick, timesheet, wkly reminder</t>
  </si>
  <si>
    <t>02.17.20: Holiday</t>
  </si>
  <si>
    <t>02.12.20: update readme doc and check for action items, archive old spreadsheets</t>
  </si>
  <si>
    <t>02.12.20: review legacy data review spreadsheets regarding multiple datasets. Consider archiving as new workflow established for reporting. Correspondence w/ local sprint staff</t>
  </si>
  <si>
    <t xml:space="preserve">02.04.20: tasking for upcoming storymap, request meeting for how to
02.05.20: research &amp; email group regarding microsoft planner checklist limitations, set up meeting for story map
02.06.20: telecom w/ Sprint DC for storymapping, request materials from GLO lead, correspondence w/ Nick and Calibre
02.12.20: send new hire instructions and brief overview of reporting requirements for wkly progress reports </t>
  </si>
  <si>
    <t>NOC Meetings</t>
  </si>
  <si>
    <t>02.13.20: reviewed test pilot info/results for RIPS, also review vmap new release details</t>
  </si>
  <si>
    <t>02.12.20: update readme doc for QAQC reporting (old google references), consider archiving old QAQC reports from prior years - added to planner for team to review
02.14.20: review qaqc correspondence regarding NOC pub, discuss briefly w/ SDE Admin, discuss qaqc reporting and documentation w/ new hire</t>
  </si>
  <si>
    <t>02.11.20: brief discussion regarding raster mosaics for upcoming task w/ acting lead. Reached out briefly to MT office for reference guide material and former MT in CO
02.13-2.14.20: set up readme and file structure, review reference materials, review how to steps, restart computer (citrix fail), make test copy gdb, run analysis, troubleshoot w/ Jeremey and Aaron. Discuss compression and storage/file structure w/ GIS Spec, send progress reporting to acting lead, citrix froze up and i was forced to restart, lost 1.5 hrs of work, updated readme with compression info, projection issues with some maps
02.18.20: continue clipping rasters for mosaics</t>
  </si>
  <si>
    <t>02.11.20: troubleshoot upload of lupa_poly to SDE via metadata tool. Added paragraph from description section of former ArcGIS metadata (historic rmp review conducted). Correspondence to gain access to edit xmls, upload xmls to SDE, review table relationships from action items list, reviewed origin vs destination and phase table appears to be off. Added task to GIS planner, correspondence w/ GIS Spec regarding internal web services and table issues if edited, update readme
02.19.20: recap on relationship links, download new schema and compare to existing, draft email with screenshots to NOC, update readme file and planner, corrspondence w/ NOC</t>
  </si>
  <si>
    <t>02.24.20: archive fo/do folder with previous sprint tracking (2017), this format no longer being used</t>
  </si>
  <si>
    <t>02.24.20: reviewing historic ROW scann from 2017, need to update readme and meet w/ CAD tech</t>
  </si>
  <si>
    <t xml:space="preserve">02.10.20: email Sprint contract at NOC regarding domains and UUIDs for historic polygon, update readme, continue xml creation for uploading metadata to SDE, global IDs present in historic and arc fields, ask NOC and local
02.11.20: troubleshooting navigator fails for publication date, complete remaining xmls, added xmls to SDE
02.19.20: start looking through old files for TGA info, begin georeferencing historical maps
02.21.20: update readme file and add action item to GIS Planner for updating grazing allotment 
02.25.20: confirm QAQC report errors with readme, correspondence w/ Sprint Contractor 
</t>
  </si>
  <si>
    <t xml:space="preserve">02.05.20: Sprint Huddle
02.12.20: Sprint Huddle
02.18.20: 1:1 w/ Nick &amp; Shannon
02.19.20: Huddle
02.21.20: 10.7 test
02.24.20: brief 20 min talk regarding GTLF and LWC/MWC ask
02.25.20: meeting regarding in-person meeting 
02.26.20: short Huddle </t>
  </si>
  <si>
    <t>02.25.20: fix navigator issue with data, update Sprint doc
02.26.20: upload xmls to sde and review, update sprint 8 step and readme</t>
  </si>
  <si>
    <t>02.04.20: tally metadata totals and progress for Sprint Annual report, email Liz &amp; Nick progress details
02.05.20: review emails for natl metadata tasking, brief conversation w/ Nick regarding, set up tracking in GIS Planner, email NOC regarding publication dates for unpublished data
02.06.20: review suggestions from NOC regarding publication dates 
02.07.20: meeting w/ J Frels and Nick, 1:1 w/ Nick, begin checklist02.10.20: draft powerpoint of metadata, geospatial data access (internal &amp; external)
02.10.20 work on action item list and powerpoint for upcoming tasking/reference material, emailed group regarding state-specific fields
02.19.20: schedule meeting for flowchart w/ Nick, add NOC info regarding 
02.27.20: add draft workflow to metadata template for todays meeting</t>
  </si>
  <si>
    <t>02.04.20: meeting w/ acting lead, and acting lead &amp; Nick regarding Sprint project, brief check in w/ Data Admin
02.05.20: brief check in with SDE Admin, 1:1 w/ acting lead for general tasking and follow up from meeting yesterday, general discussion for navigator with State Data Admin, additional discussion with SDE Admin for upcoming schema updates and added to planner
02.07.20: review domain duplicates with SDE Admin- give examples and discuss resulting data validation issues
02.10.20: review january state call meeting minutes from acting lead (vmap details), inhouse GIS call
02.11.20: onboarding briefing for newhire w/acting lead, brief discussion w/ acting director and Sprint team 
02.12.20: review meeting agenda for GIS Mod Team, attend GIS Mod call, attend inhouse brownbag call for SDE Admin trip to NOC
02.18.20: inhouse GIS call
02.20.20: update agenda w/ my Sprint progress for call today, attend call 
02.24.20: inhouse GIS call
02.27.20: brief domain discussion w/ SDE admin for nxt wk's meeting, discuss upcoming tasking for cleanup</t>
  </si>
  <si>
    <t>02.04.20: review WO correspondence regarding WCIU ask, review tracking sheet and send correspondence to acting lead
02.06.20: correspondence w/ acting lead regarding upcoming trails ask, discuss action items ongoing from last year regarding NSHT
02.12.20: NM NCA: review sprint 8 step and readme for updating xmls, review arcgis metadata details, review new featureclasses added to dataset and correspond w/ State for updating metadata etc
02.12.20: WSR: begin reviewing citation info and compare to NOC copy, need to revamp and update readmem, maybe move info to process step section
02.19.20: reviewed former notes for trails data, set up action item list in readme, correspondence w/ AZ GIS team and correspondence w/ acting lead regarding trails and GTLF
02.21.20: work on schema readme correspondence w/ lead regarding domains
02.24.20: updated readme, uploaded data, qaqc'd totals, correspondence w/ acting lead, updated GIS planner w/ action items
02.25.20: correspondence w/ acting lead and Data Admin regarding ADMU vs NM NCA as there are discrepencies in metadata. Review several details regarding arc establishment, revise metadata to refliect attribute accuracy and lineage information, correspondence w/ acting lead for additional data upload for WCIUs
02.26.20: discussion w/ acting lead, update readme, review datasets for upload
02.27.20: validate data upload, update readme, request version checkin</t>
  </si>
  <si>
    <t>02.04.20: brief discussion w/ GIS Spec who calculated acres
02.05.20: update readme and xmls regarding GIS acres
02.20.20: attend meeting, update readme, draft meeting minutes, correspondence w/ SME
02.21.20: add comments regarding domains to schema workflow doc
02.24.20: review/archive old mxds to archive folder
02.25.20: review Zach's workflow diagram, continue review of schema doc also, adding comments
02.27.20: start working on basic metadata for working group to review</t>
  </si>
  <si>
    <t>02.24.20: send correspondence regarding action items (gis acres etc)
02.26.20: reviewed inhouse action items for upcoming ADMU revisit at NOC, correspondence w/ NOC Sprint to confirm, update readme, archive old docs
02.27.20 correspondence email regarding domains for historic, update sprint 8 step doc, update sprint 8 step to reflect updates on historic domains</t>
  </si>
  <si>
    <t>02.07.20: brief review of replication notifications and discussion w/ Noc sprint
02.19.20: review new guidance email regarding tasking deadline and new domains
02.20.20: review additional guidance doc in email, see update to domain
02.27.20: update ak and az maps, had to save copy because of 10.7 not working, update readme</t>
  </si>
  <si>
    <t>02.28.20: review mobile flow chart and correspondence details for mobile in general</t>
  </si>
  <si>
    <t xml:space="preserve">02.04.20: 1:1 in person w/ Nick, email timesheet and tracker review update (catch up from absense last wk), correspondence w/ Alec for timesheet easy button issue, brief correspondence w/ Calibre colleagues for reporting on project, email Nick pto, wkly update and review jan breakdown
02.06.20: troubleshoot timesheet access w/ Alec (required restart), 1:1 w/ Nick, discuss reporting format w/ Jeremey and Christine for capturing percentages/quantitative values
02.10.20: wkly reminder totals, add rachel to spreadsheet
02.11.20: correspondence regarding tasking for monthly reporting, review Jan meetings state vs noc vs Sprint
02.12.20: Huddle, brief ask for new task buttons on timesheet, brief discussion regarding required reporting for monthly updates, test meeting invite link to shared screen w/ State Data Admin, troubleshoot multiple tabs in sharepoint
02.13.20: restart twice-citrix and team connections not working, spoke w/ SDE Admin for work around-use 10.5
02.18.20: wkly reporting email (now 3 person team reporting), timesheet, check scheduling for wk
02.19.20: troubleshoot microphone and team meetings w/ GIS spec, emails
02.20.20: continue to archive old 2017-2019 files eg: sprint powerpoint drafts etc, set up 10.7 in production
02.21.20: 20 min meet &amp; greet w/ Alistair, timesheet, 10.7 testing agenda read
02.24.20: wkly update, travel request research for flight within time parametes, timesheet, general emails
02.25.20: cleanup checked out versions (old)
02.26.20: email cleanup, confirm inperson flight info, timesheet, 
02.28.20: timesheet emails,scheduling for next wk, discussion w/ IT regarding Bison Connect </t>
  </si>
  <si>
    <t>February_2020</t>
  </si>
  <si>
    <t>03.02.20: finalize Feb timesheet, draft wkly reminder, review IM regarding virus, check scheduling for upcoming wk</t>
  </si>
  <si>
    <t>03.02.20: inhouse GIS call</t>
  </si>
  <si>
    <t>03.02.20: discussion w/ Data Admin regarding national monuments, settting up meeting w/ new SME</t>
  </si>
  <si>
    <t>03.02.20: finish GTLF mxds, email Nick, update readme, call w/ Nick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</si>
</sst>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9">
    <font>
      <sz val="10"/>
      <color rgb="FF000000"/>
      <name val="Arial"/>
    </font>
    <font>
      <sz val="10"/>
      <name val="Arial"/>
    </font>
    <font>
      <b/>
      <sz val="12"/>
      <name val="Arial"/>
    </font>
    <font>
      <b/>
      <sz val="10"/>
      <name val="Arial"/>
    </font>
    <font>
      <sz val="11"/>
      <color rgb="FF000000"/>
      <name val="Inconsolata"/>
    </font>
    <font>
      <b/>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6" fillId="0" borderId="0"/>
  </cellStyleXfs>
  <cellXfs count="71">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7" fillId="5" borderId="2" xfId="0" applyFont="1" applyFill="1" applyBorder="1" applyAlignment="1"/>
    <xf numFmtId="0" fontId="8"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6" fillId="0" borderId="0" xfId="1" applyFont="1" applyAlignment="1"/>
    <xf numFmtId="164" fontId="8"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1" fillId="0" borderId="0" xfId="0" applyFont="1" applyAlignment="1">
      <alignment wrapText="1"/>
    </xf>
    <xf numFmtId="0" fontId="0" fillId="0" borderId="0" xfId="0" applyFont="1" applyAlignment="1">
      <alignment wrapText="1"/>
    </xf>
    <xf numFmtId="0" fontId="6" fillId="0" borderId="0" xfId="0" applyFont="1" applyAlignment="1">
      <alignment wrapText="1"/>
    </xf>
    <xf numFmtId="164" fontId="6" fillId="0" borderId="6" xfId="0" applyNumberFormat="1" applyFont="1" applyBorder="1" applyAlignment="1"/>
    <xf numFmtId="0" fontId="8" fillId="0" borderId="6" xfId="0" applyFont="1" applyBorder="1" applyAlignment="1">
      <alignment horizontal="left" wrapText="1"/>
    </xf>
    <xf numFmtId="164" fontId="6" fillId="0" borderId="4" xfId="0" applyNumberFormat="1" applyFont="1" applyBorder="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105"/>
  <sheetViews>
    <sheetView tabSelected="1" zoomScale="80" zoomScaleNormal="80" workbookViewId="0">
      <selection activeCell="AN10" sqref="AN10"/>
    </sheetView>
  </sheetViews>
  <sheetFormatPr defaultColWidth="0" defaultRowHeight="15.75" customHeight="1" zeroHeight="1"/>
  <cols>
    <col min="1" max="1" width="5.5703125" customWidth="1"/>
    <col min="2" max="2" width="6.140625" customWidth="1"/>
    <col min="3" max="3" width="8.42578125" customWidth="1"/>
    <col min="4" max="4" width="14.42578125" customWidth="1"/>
    <col min="5" max="5" width="18.5703125" customWidth="1"/>
    <col min="6" max="6" width="3.28515625" customWidth="1"/>
    <col min="7" max="7" width="5.5703125" customWidth="1"/>
    <col min="8" max="8" width="5" customWidth="1"/>
    <col min="9" max="9" width="4.7109375" customWidth="1"/>
    <col min="10" max="10" width="4.85546875" customWidth="1"/>
    <col min="11" max="11" width="5.140625" customWidth="1"/>
    <col min="12" max="12" width="4.28515625" customWidth="1"/>
    <col min="13" max="14" width="3.28515625" customWidth="1"/>
    <col min="15" max="15" width="4.85546875" customWidth="1"/>
    <col min="16" max="16" width="7.42578125" customWidth="1"/>
    <col min="17" max="17" width="6.140625" customWidth="1"/>
    <col min="18" max="18" width="5.85546875" customWidth="1"/>
    <col min="19" max="19" width="5.5703125" customWidth="1"/>
    <col min="20" max="21" width="3.28515625" customWidth="1"/>
    <col min="22" max="22" width="6.7109375" customWidth="1"/>
    <col min="23" max="23" width="4.42578125" customWidth="1"/>
    <col min="24" max="24" width="5.42578125" customWidth="1"/>
    <col min="25" max="25" width="5.28515625" customWidth="1"/>
    <col min="26" max="26" width="6.140625" customWidth="1"/>
    <col min="27" max="28" width="3.28515625" customWidth="1"/>
    <col min="29" max="29" width="4.7109375" customWidth="1"/>
    <col min="30" max="30" width="7.5703125" customWidth="1"/>
    <col min="31" max="31" width="7.7109375" customWidth="1"/>
    <col min="32" max="32" width="7.28515625" customWidth="1"/>
    <col min="33" max="33" width="10.42578125" customWidth="1"/>
    <col min="34" max="34" width="3.5703125" customWidth="1"/>
    <col min="35" max="35" width="3.28515625" customWidth="1"/>
    <col min="36" max="36" width="0.7109375" customWidth="1"/>
    <col min="37" max="37" width="8" customWidth="1"/>
    <col min="38" max="38" width="16" customWidth="1"/>
    <col min="39" max="39" width="14.42578125" customWidth="1"/>
    <col min="40" max="40" width="60"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_</v>
      </c>
      <c r="B1" s="2"/>
      <c r="C1" s="2"/>
      <c r="D1" s="2"/>
      <c r="E1" s="54"/>
      <c r="F1" s="3"/>
      <c r="G1" s="3"/>
      <c r="H1" s="3"/>
      <c r="I1" s="3"/>
      <c r="J1" s="3"/>
      <c r="K1" s="3"/>
      <c r="L1" s="3"/>
      <c r="M1" s="3"/>
      <c r="N1" s="3"/>
      <c r="O1" s="3"/>
      <c r="P1" s="3"/>
      <c r="Q1" s="3"/>
      <c r="R1" s="3"/>
      <c r="S1" s="3"/>
      <c r="T1" s="3"/>
      <c r="U1" s="3"/>
      <c r="V1" s="3"/>
      <c r="W1" s="3"/>
      <c r="X1" s="3"/>
      <c r="Y1" s="3"/>
      <c r="Z1" s="3"/>
      <c r="AA1" s="3"/>
      <c r="AB1" s="3"/>
      <c r="AC1" s="3"/>
      <c r="AD1" s="3"/>
      <c r="AE1" s="3"/>
      <c r="AF1" s="3"/>
      <c r="AG1" s="3"/>
      <c r="AH1" s="42" t="b">
        <f>MONTH(F6)=MONTH(AH6)</f>
        <v>1</v>
      </c>
      <c r="AI1" s="42" t="b">
        <f>MONTH(G6)=MONTH(AI6)</f>
        <v>1</v>
      </c>
      <c r="AJ1" s="42"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6</v>
      </c>
      <c r="C2" s="11" t="s">
        <v>45</v>
      </c>
      <c r="D2" s="12">
        <f>IFERROR(B2/D5,"")</f>
        <v>0.8571428571428571</v>
      </c>
      <c r="E2" s="54"/>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1</v>
      </c>
      <c r="C3" s="11" t="s">
        <v>46</v>
      </c>
      <c r="D3" s="12">
        <f>IFERROR(B3/D5,"")</f>
        <v>0.14285714285714285</v>
      </c>
      <c r="E3" s="54"/>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3"/>
      <c r="F4" s="14">
        <f t="array" ref="F4:AJ4">TRANSPOSE(DATE($B$7,MONTH(C7&amp;1),1)+TRANSPOSE(COLUMN($C$1:$AN$1)-3))</f>
        <v>1</v>
      </c>
      <c r="G4" s="14">
        <v>2</v>
      </c>
      <c r="H4" s="14">
        <v>3</v>
      </c>
      <c r="I4" s="14">
        <v>4</v>
      </c>
      <c r="J4" s="14">
        <v>5</v>
      </c>
      <c r="K4" s="14">
        <v>6</v>
      </c>
      <c r="L4" s="14">
        <v>7</v>
      </c>
      <c r="M4" s="14">
        <v>8</v>
      </c>
      <c r="N4" s="14">
        <v>9</v>
      </c>
      <c r="O4" s="14">
        <v>10</v>
      </c>
      <c r="P4" s="14">
        <v>11</v>
      </c>
      <c r="Q4" s="14">
        <v>12</v>
      </c>
      <c r="R4" s="14">
        <v>13</v>
      </c>
      <c r="S4" s="14">
        <v>14</v>
      </c>
      <c r="T4" s="14">
        <v>15</v>
      </c>
      <c r="U4" s="14">
        <v>16</v>
      </c>
      <c r="V4" s="14">
        <v>17</v>
      </c>
      <c r="W4" s="14">
        <v>18</v>
      </c>
      <c r="X4" s="14">
        <v>19</v>
      </c>
      <c r="Y4" s="14">
        <v>20</v>
      </c>
      <c r="Z4" s="14">
        <v>21</v>
      </c>
      <c r="AA4" s="14">
        <v>22</v>
      </c>
      <c r="AB4" s="14">
        <v>23</v>
      </c>
      <c r="AC4" s="14">
        <v>24</v>
      </c>
      <c r="AD4" s="14">
        <v>25</v>
      </c>
      <c r="AE4" s="14">
        <v>26</v>
      </c>
      <c r="AF4" s="14">
        <v>27</v>
      </c>
      <c r="AG4" s="14">
        <v>28</v>
      </c>
      <c r="AH4" s="14">
        <v>29</v>
      </c>
      <c r="AI4" s="14">
        <v>30</v>
      </c>
      <c r="AJ4" s="14">
        <v>31</v>
      </c>
      <c r="AK4" s="15"/>
      <c r="AL4" s="5"/>
      <c r="AM4" s="3"/>
      <c r="AN4" s="3"/>
      <c r="AO4" s="3"/>
      <c r="AP4" s="3"/>
      <c r="AQ4" s="3"/>
      <c r="AR4" s="3"/>
      <c r="AS4" s="3"/>
      <c r="AT4" s="3"/>
      <c r="AU4" s="3"/>
      <c r="AV4" s="6"/>
    </row>
    <row r="5" spans="1:48" ht="30" customHeight="1">
      <c r="A5" s="16" t="s">
        <v>44</v>
      </c>
      <c r="B5" s="17">
        <f ca="1">AK11</f>
        <v>7</v>
      </c>
      <c r="C5" s="48" t="s">
        <v>90</v>
      </c>
      <c r="D5" s="18">
        <f>B2+B3</f>
        <v>7</v>
      </c>
      <c r="E5" s="50"/>
      <c r="F5" s="44">
        <f t="array" ref="F5:AJ5">TRANSPOSE(DATE($B$7,MONTH(C7&amp;1),1)+TRANSPOSE(COLUMN($C$1:$AN$1)-3))</f>
        <v>1</v>
      </c>
      <c r="G5" s="46">
        <v>2</v>
      </c>
      <c r="H5" s="46">
        <v>3</v>
      </c>
      <c r="I5" s="46">
        <v>4</v>
      </c>
      <c r="J5" s="46">
        <v>5</v>
      </c>
      <c r="K5" s="46">
        <v>6</v>
      </c>
      <c r="L5" s="46">
        <v>7</v>
      </c>
      <c r="M5" s="46">
        <v>8</v>
      </c>
      <c r="N5" s="46">
        <v>9</v>
      </c>
      <c r="O5" s="46">
        <v>10</v>
      </c>
      <c r="P5" s="46">
        <v>11</v>
      </c>
      <c r="Q5" s="46">
        <v>12</v>
      </c>
      <c r="R5" s="46">
        <v>13</v>
      </c>
      <c r="S5" s="46">
        <v>14</v>
      </c>
      <c r="T5" s="46">
        <v>15</v>
      </c>
      <c r="U5" s="46">
        <v>16</v>
      </c>
      <c r="V5" s="46">
        <v>17</v>
      </c>
      <c r="W5" s="46">
        <v>18</v>
      </c>
      <c r="X5" s="46">
        <v>19</v>
      </c>
      <c r="Y5" s="46">
        <v>20</v>
      </c>
      <c r="Z5" s="46">
        <v>21</v>
      </c>
      <c r="AA5" s="46">
        <v>22</v>
      </c>
      <c r="AB5" s="46">
        <v>23</v>
      </c>
      <c r="AC5" s="46">
        <v>24</v>
      </c>
      <c r="AD5" s="46">
        <v>25</v>
      </c>
      <c r="AE5" s="46">
        <v>26</v>
      </c>
      <c r="AF5" s="46">
        <v>27</v>
      </c>
      <c r="AG5" s="46">
        <v>28</v>
      </c>
      <c r="AH5" s="46">
        <v>29</v>
      </c>
      <c r="AI5" s="46">
        <v>30</v>
      </c>
      <c r="AJ5" s="19">
        <v>31</v>
      </c>
      <c r="AK5" s="20"/>
      <c r="AL5" s="5"/>
      <c r="AM5" s="21"/>
      <c r="AN5" s="22"/>
      <c r="AO5" s="22"/>
      <c r="AP5" s="22"/>
      <c r="AQ5" s="22"/>
      <c r="AR5" s="22"/>
      <c r="AS5" s="22"/>
      <c r="AT5" s="22"/>
      <c r="AU5" s="22"/>
      <c r="AV5" s="23"/>
    </row>
    <row r="6" spans="1:48" ht="15">
      <c r="A6" s="24" t="s">
        <v>0</v>
      </c>
      <c r="B6" s="25" t="s">
        <v>1</v>
      </c>
      <c r="C6" s="25" t="s">
        <v>2</v>
      </c>
      <c r="D6" s="25" t="s">
        <v>3</v>
      </c>
      <c r="E6" s="25" t="s">
        <v>4</v>
      </c>
      <c r="F6" s="45">
        <f t="array" ref="F6:AJ6">TRANSPOSE(DATE($B$7,MONTH(C7&amp;1),1)+TRANSPOSE(COLUMN($C$1:$AN$1)-3))</f>
        <v>1</v>
      </c>
      <c r="G6" s="47">
        <v>2</v>
      </c>
      <c r="H6" s="47">
        <v>3</v>
      </c>
      <c r="I6" s="47">
        <v>4</v>
      </c>
      <c r="J6" s="47">
        <v>5</v>
      </c>
      <c r="K6" s="47">
        <v>6</v>
      </c>
      <c r="L6" s="47">
        <v>7</v>
      </c>
      <c r="M6" s="47">
        <v>8</v>
      </c>
      <c r="N6" s="47">
        <v>9</v>
      </c>
      <c r="O6" s="47">
        <v>10</v>
      </c>
      <c r="P6" s="47">
        <v>11</v>
      </c>
      <c r="Q6" s="47">
        <v>12</v>
      </c>
      <c r="R6" s="47">
        <v>13</v>
      </c>
      <c r="S6" s="47">
        <v>14</v>
      </c>
      <c r="T6" s="47">
        <v>15</v>
      </c>
      <c r="U6" s="47">
        <v>16</v>
      </c>
      <c r="V6" s="47">
        <v>17</v>
      </c>
      <c r="W6" s="47">
        <v>18</v>
      </c>
      <c r="X6" s="47">
        <v>19</v>
      </c>
      <c r="Y6" s="47">
        <v>20</v>
      </c>
      <c r="Z6" s="47">
        <v>21</v>
      </c>
      <c r="AA6" s="47">
        <v>22</v>
      </c>
      <c r="AB6" s="47">
        <v>23</v>
      </c>
      <c r="AC6" s="47">
        <v>24</v>
      </c>
      <c r="AD6" s="47">
        <v>25</v>
      </c>
      <c r="AE6" s="47">
        <v>26</v>
      </c>
      <c r="AF6" s="47">
        <v>27</v>
      </c>
      <c r="AG6" s="47">
        <v>28</v>
      </c>
      <c r="AH6" s="47">
        <v>29</v>
      </c>
      <c r="AI6" s="47">
        <v>30</v>
      </c>
      <c r="AJ6" s="26">
        <v>31</v>
      </c>
      <c r="AK6" s="27" t="s">
        <v>37</v>
      </c>
      <c r="AL6" s="28"/>
      <c r="AM6" s="29" t="s">
        <v>39</v>
      </c>
      <c r="AN6" s="30" t="s">
        <v>40</v>
      </c>
      <c r="AO6" s="31" t="s">
        <v>35</v>
      </c>
      <c r="AP6" s="31" t="s">
        <v>41</v>
      </c>
      <c r="AQ6" s="31" t="s">
        <v>42</v>
      </c>
      <c r="AR6" s="18"/>
      <c r="AS6" s="31" t="s">
        <v>44</v>
      </c>
      <c r="AT6" s="31" t="s">
        <v>45</v>
      </c>
      <c r="AU6" s="31" t="s">
        <v>46</v>
      </c>
      <c r="AV6" s="32" t="s">
        <v>47</v>
      </c>
    </row>
    <row r="7" spans="1:48" ht="25.5">
      <c r="A7" s="33" t="b">
        <f>IF(
C7 = "January",1,
IF(C7 = "February",2,
IF(C7 = "March",3,
IF(C7 = "April",4,
IF(C7 = "May",5,
IF(C7 = "June",6,
IF(C7 = "July",7,
IF(C7 = "August",8,
IF(C7 = "September",9,
IF(C7 = "October",10,
IF(C7 = "November",11,
IF(C7 = "December",12))))))))))))</f>
        <v>0</v>
      </c>
      <c r="B7" s="34"/>
      <c r="C7" s="35"/>
      <c r="D7" s="68" t="str">
        <f>C7&amp;"_"&amp;B7</f>
        <v>_</v>
      </c>
      <c r="E7" s="35" t="s">
        <v>50</v>
      </c>
      <c r="F7" s="35"/>
      <c r="G7" s="35">
        <v>1</v>
      </c>
      <c r="H7" s="35"/>
      <c r="I7" s="35"/>
      <c r="J7" s="35"/>
      <c r="K7" s="35"/>
      <c r="L7" s="35"/>
      <c r="M7" s="35"/>
      <c r="N7" s="35"/>
      <c r="O7" s="35"/>
      <c r="P7" s="35"/>
      <c r="Q7" s="35"/>
      <c r="R7" s="35"/>
      <c r="S7" s="35"/>
      <c r="T7" s="35"/>
      <c r="U7" s="35"/>
      <c r="V7" s="35"/>
      <c r="W7" s="35"/>
      <c r="X7" s="35"/>
      <c r="Y7" s="35"/>
      <c r="Z7" s="35"/>
      <c r="AA7" s="35"/>
      <c r="AB7" s="35"/>
      <c r="AC7" s="35"/>
      <c r="AD7" s="35"/>
      <c r="AE7" s="35"/>
      <c r="AF7" s="35"/>
      <c r="AG7" s="35"/>
      <c r="AH7" s="56"/>
      <c r="AI7" s="35"/>
      <c r="AJ7" s="35"/>
      <c r="AK7" s="57">
        <f t="shared" ref="AK7:AK10" si="0">SUM(F7:AJ7)</f>
        <v>1</v>
      </c>
      <c r="AL7" s="36" t="str">
        <f t="shared" ref="AL7:AL10" si="1">E7</f>
        <v>NOC Misc</v>
      </c>
      <c r="AM7" s="49" t="s">
        <v>99</v>
      </c>
      <c r="AN7" s="69" t="s">
        <v>146</v>
      </c>
      <c r="AO7" s="37"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6</v>
      </c>
      <c r="AP7" s="37">
        <f>SUM(SUMIF(E:E, {"STATE Data Analysis","STATE Land Disposal","STATE Raster Processing/Management","STATE Data Editing","STATE Data Collection","STATE SMA","STATE Knowledge Transfer","STATE Mapping","STATE Meetings","STATE Training","STATE Travel","STATE VRM","STATE LWC","Testing/Workflow"}, AK:AK))</f>
        <v>1</v>
      </c>
      <c r="AQ7" s="37">
        <f t="array" ref="AQ7">SUM(SUMIF(E:E, {"NON BILL Company Overhead","NON BILL PTO/Holiday"}, AK:AK))</f>
        <v>0</v>
      </c>
      <c r="AR7" s="18"/>
      <c r="AS7" s="38">
        <f ca="1">AK11</f>
        <v>7</v>
      </c>
      <c r="AT7" s="37">
        <f>IFERROR(AO7/D5,"")</f>
        <v>0.8571428571428571</v>
      </c>
      <c r="AU7" s="37">
        <f>IFERROR(AP7/D5,"")</f>
        <v>0.14285714285714285</v>
      </c>
      <c r="AV7" s="39"/>
    </row>
    <row r="8" spans="1:48" ht="25.5">
      <c r="A8" s="59"/>
      <c r="B8" s="59"/>
      <c r="C8" s="60"/>
      <c r="D8" s="70"/>
      <c r="E8" s="35" t="s">
        <v>54</v>
      </c>
      <c r="F8" s="35"/>
      <c r="G8" s="35">
        <v>0.5</v>
      </c>
      <c r="H8" s="35"/>
      <c r="I8" s="35"/>
      <c r="J8" s="35"/>
      <c r="K8" s="35"/>
      <c r="L8" s="35"/>
      <c r="M8" s="35"/>
      <c r="N8" s="35"/>
      <c r="O8" s="35"/>
      <c r="P8" s="35"/>
      <c r="Q8" s="35"/>
      <c r="R8" s="35"/>
      <c r="S8" s="35"/>
      <c r="T8" s="35"/>
      <c r="U8" s="35"/>
      <c r="V8" s="35"/>
      <c r="W8" s="35"/>
      <c r="X8" s="35"/>
      <c r="Y8" s="35"/>
      <c r="Z8" s="35"/>
      <c r="AA8" s="35"/>
      <c r="AB8" s="35"/>
      <c r="AC8" s="35"/>
      <c r="AD8" s="35"/>
      <c r="AE8" s="35"/>
      <c r="AF8" s="35"/>
      <c r="AG8" s="35"/>
      <c r="AH8" s="56"/>
      <c r="AI8" s="35"/>
      <c r="AJ8" s="35"/>
      <c r="AK8" s="57">
        <f t="shared" si="0"/>
        <v>0.5</v>
      </c>
      <c r="AL8" s="36" t="str">
        <f t="shared" si="1"/>
        <v>NOC ADMU</v>
      </c>
      <c r="AM8" s="49" t="s">
        <v>99</v>
      </c>
      <c r="AN8" s="69" t="s">
        <v>148</v>
      </c>
      <c r="AO8" s="62"/>
      <c r="AP8" s="62"/>
      <c r="AQ8" s="62"/>
      <c r="AR8" s="63"/>
      <c r="AS8" s="64"/>
      <c r="AT8" s="62"/>
      <c r="AU8" s="62"/>
      <c r="AV8" s="61"/>
    </row>
    <row r="9" spans="1:48" ht="14.25">
      <c r="A9" s="59"/>
      <c r="B9" s="59"/>
      <c r="C9" s="60"/>
      <c r="D9" s="70"/>
      <c r="E9" s="35" t="s">
        <v>79</v>
      </c>
      <c r="F9" s="35"/>
      <c r="G9" s="35">
        <v>1</v>
      </c>
      <c r="H9" s="35"/>
      <c r="I9" s="35"/>
      <c r="J9" s="35"/>
      <c r="K9" s="35"/>
      <c r="L9" s="35"/>
      <c r="M9" s="35"/>
      <c r="N9" s="35"/>
      <c r="O9" s="35"/>
      <c r="P9" s="35"/>
      <c r="Q9" s="35"/>
      <c r="R9" s="35"/>
      <c r="S9" s="35"/>
      <c r="T9" s="35"/>
      <c r="U9" s="35"/>
      <c r="V9" s="35"/>
      <c r="W9" s="35"/>
      <c r="X9" s="35"/>
      <c r="Y9" s="35"/>
      <c r="Z9" s="35"/>
      <c r="AA9" s="35"/>
      <c r="AB9" s="35"/>
      <c r="AC9" s="35"/>
      <c r="AD9" s="35"/>
      <c r="AE9" s="35"/>
      <c r="AF9" s="35"/>
      <c r="AG9" s="35"/>
      <c r="AH9" s="56"/>
      <c r="AI9" s="35"/>
      <c r="AJ9" s="35"/>
      <c r="AK9" s="57">
        <f t="shared" si="0"/>
        <v>1</v>
      </c>
      <c r="AL9" s="36" t="str">
        <f t="shared" si="1"/>
        <v>STATE Meetings</v>
      </c>
      <c r="AM9" s="49" t="s">
        <v>99</v>
      </c>
      <c r="AN9" s="69" t="s">
        <v>147</v>
      </c>
      <c r="AO9" s="62"/>
      <c r="AP9" s="62"/>
      <c r="AQ9" s="62"/>
      <c r="AR9" s="63"/>
      <c r="AS9" s="64"/>
      <c r="AT9" s="62"/>
      <c r="AU9" s="62"/>
      <c r="AV9" s="61"/>
    </row>
    <row r="10" spans="1:48" ht="14.25">
      <c r="A10" s="59"/>
      <c r="B10" s="59"/>
      <c r="C10" s="60"/>
      <c r="D10" s="70"/>
      <c r="E10" s="35" t="s">
        <v>58</v>
      </c>
      <c r="F10" s="35"/>
      <c r="G10" s="35">
        <v>4.5</v>
      </c>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56"/>
      <c r="AI10" s="35"/>
      <c r="AJ10" s="35"/>
      <c r="AK10" s="57">
        <f t="shared" si="0"/>
        <v>4.5</v>
      </c>
      <c r="AL10" s="36" t="str">
        <f t="shared" si="1"/>
        <v>NOC GTLF</v>
      </c>
      <c r="AM10" s="49" t="s">
        <v>99</v>
      </c>
      <c r="AN10" s="69" t="s">
        <v>149</v>
      </c>
      <c r="AO10" s="62"/>
      <c r="AP10" s="62"/>
      <c r="AQ10" s="62"/>
      <c r="AR10" s="63"/>
      <c r="AS10" s="64"/>
      <c r="AT10" s="62"/>
      <c r="AU10" s="62"/>
      <c r="AV10" s="61"/>
    </row>
    <row r="11" spans="1:48" ht="15.75" customHeight="1">
      <c r="A11" s="40" t="s">
        <v>48</v>
      </c>
      <c r="B11" s="3"/>
      <c r="C11" s="3"/>
      <c r="D11" s="41"/>
      <c r="E11" s="27" t="s">
        <v>37</v>
      </c>
      <c r="F11" s="57">
        <f ca="1">SUM(INDIRECT("F7:F"&amp;ROW()-1))</f>
        <v>0</v>
      </c>
      <c r="G11" s="57">
        <f ca="1">SUM(INDIRECT("G7:G"&amp;ROW()-1))</f>
        <v>7</v>
      </c>
      <c r="H11" s="57">
        <f ca="1">SUM(INDIRECT("H7:H"&amp;ROW()-1))</f>
        <v>0</v>
      </c>
      <c r="I11" s="57">
        <f ca="1">SUM(INDIRECT("I7:I"&amp;ROW()-1))</f>
        <v>0</v>
      </c>
      <c r="J11" s="57">
        <f ca="1">SUM(INDIRECT("J7:J"&amp;ROW()-1))</f>
        <v>0</v>
      </c>
      <c r="K11" s="57">
        <f ca="1">SUM(INDIRECT("K7:K"&amp;ROW()-1))</f>
        <v>0</v>
      </c>
      <c r="L11" s="57">
        <f ca="1">SUM(INDIRECT("L7:L"&amp;ROW()-1))</f>
        <v>0</v>
      </c>
      <c r="M11" s="57">
        <f ca="1">SUM(INDIRECT("M7:M"&amp;ROW()-1))</f>
        <v>0</v>
      </c>
      <c r="N11" s="57">
        <f ca="1">SUM(INDIRECT("N7:N"&amp;ROW()-1))</f>
        <v>0</v>
      </c>
      <c r="O11" s="57">
        <f ca="1">SUM(INDIRECT("O7:O"&amp;ROW()-1))</f>
        <v>0</v>
      </c>
      <c r="P11" s="57">
        <f ca="1">SUM(INDIRECT("P7:P"&amp;ROW()-1))</f>
        <v>0</v>
      </c>
      <c r="Q11" s="57">
        <f ca="1">SUM(INDIRECT("Q7:Q"&amp;ROW()-1))</f>
        <v>0</v>
      </c>
      <c r="R11" s="57">
        <f ca="1">SUM(INDIRECT("R7:R"&amp;ROW()-1))</f>
        <v>0</v>
      </c>
      <c r="S11" s="57">
        <f ca="1">SUM(INDIRECT("S7:S"&amp;ROW()-1))</f>
        <v>0</v>
      </c>
      <c r="T11" s="57">
        <f ca="1">SUM(INDIRECT("T7:T"&amp;ROW()-1))</f>
        <v>0</v>
      </c>
      <c r="U11" s="57">
        <f ca="1">SUM(INDIRECT("U7:U"&amp;ROW()-1))</f>
        <v>0</v>
      </c>
      <c r="V11" s="57">
        <f ca="1">SUM(INDIRECT("V7:V"&amp;ROW()-1))</f>
        <v>0</v>
      </c>
      <c r="W11" s="57">
        <f ca="1">SUM(INDIRECT("W7:W"&amp;ROW()-1))</f>
        <v>0</v>
      </c>
      <c r="X11" s="57">
        <f ca="1">SUM(INDIRECT("X7:X"&amp;ROW()-1))</f>
        <v>0</v>
      </c>
      <c r="Y11" s="57">
        <f ca="1">SUM(INDIRECT("Y7:Y"&amp;ROW()-1))</f>
        <v>0</v>
      </c>
      <c r="Z11" s="57">
        <f ca="1">SUM(INDIRECT("Z7:Z"&amp;ROW()-1))</f>
        <v>0</v>
      </c>
      <c r="AA11" s="57">
        <f ca="1">SUM(INDIRECT("AA7:AA"&amp;ROW()-1))</f>
        <v>0</v>
      </c>
      <c r="AB11" s="57">
        <f ca="1">SUM(INDIRECT("AB7:AB"&amp;ROW()-1))</f>
        <v>0</v>
      </c>
      <c r="AC11" s="57">
        <f ca="1">SUM(INDIRECT("AC7:AC"&amp;ROW()-1))</f>
        <v>0</v>
      </c>
      <c r="AD11" s="57">
        <f ca="1">SUM(INDIRECT("AD7:AD"&amp;ROW()-1))</f>
        <v>0</v>
      </c>
      <c r="AE11" s="57">
        <f ca="1">SUM(INDIRECT("AE7:AE"&amp;ROW()-1))</f>
        <v>0</v>
      </c>
      <c r="AF11" s="57">
        <f ca="1">SUM(INDIRECT("AF7:AF"&amp;ROW()-1))</f>
        <v>0</v>
      </c>
      <c r="AG11" s="57">
        <f ca="1">SUM(INDIRECT("AG7:AG"&amp;ROW()-1))</f>
        <v>0</v>
      </c>
      <c r="AH11" s="57">
        <f ca="1">SUM(INDIRECT("AH7:AH"&amp;ROW()-1))</f>
        <v>0</v>
      </c>
      <c r="AI11" s="57">
        <f ca="1">SUM(INDIRECT("AI7:AI"&amp;ROW()-1))</f>
        <v>0</v>
      </c>
      <c r="AJ11" s="57">
        <f ca="1">SUM(INDIRECT("AJ7:AJ"&amp;ROW()-1))</f>
        <v>0</v>
      </c>
      <c r="AK11" s="57">
        <f ca="1">SUM(INDIRECT("AK7:AK"&amp;ROW()-1))</f>
        <v>7</v>
      </c>
      <c r="AL11" s="42"/>
      <c r="AM11" s="3"/>
      <c r="AN11" s="65"/>
      <c r="AO11" s="3"/>
      <c r="AP11" s="3"/>
      <c r="AQ11" s="3"/>
      <c r="AR11" s="3"/>
      <c r="AS11" s="3"/>
      <c r="AT11" s="3"/>
      <c r="AU11" s="3"/>
      <c r="AV11" s="6"/>
    </row>
    <row r="12" spans="1:48" ht="15.75" customHeight="1">
      <c r="A12" s="40" t="s">
        <v>48</v>
      </c>
      <c r="B12" s="3"/>
      <c r="C12" s="3"/>
      <c r="D12" s="3"/>
      <c r="E12" s="43" t="s">
        <v>49</v>
      </c>
      <c r="F12" s="58"/>
      <c r="G12" s="58"/>
      <c r="H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42"/>
      <c r="AM12" s="3"/>
      <c r="AN12" s="65"/>
      <c r="AO12" s="3"/>
      <c r="AP12" s="3"/>
      <c r="AQ12" s="3"/>
      <c r="AR12" s="3"/>
      <c r="AS12" s="3"/>
      <c r="AT12" s="3"/>
      <c r="AU12" s="3"/>
      <c r="AV12" s="6"/>
    </row>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sheetData>
  <conditionalFormatting sqref="F1:AJ12">
    <cfRule type="expression" dxfId="9" priority="12">
      <formula>F$4=TODAY()</formula>
    </cfRule>
  </conditionalFormatting>
  <conditionalFormatting sqref="AH1:AJ12">
    <cfRule type="expression" dxfId="8" priority="13">
      <formula>AH$5=""</formula>
    </cfRule>
  </conditionalFormatting>
  <conditionalFormatting sqref="F1:AJ12">
    <cfRule type="expression" dxfId="7" priority="14">
      <formula>OR(WEEKDAY(F$5)=1,WEEKDAY(F$5)=7)</formula>
    </cfRule>
  </conditionalFormatting>
  <conditionalFormatting sqref="A11:AV12 A1:AV7 AV8:AV10 A8:AN10">
    <cfRule type="expression" dxfId="6" priority="15">
      <formula>$E1="NON BILL PTO/Holiday"</formula>
    </cfRule>
  </conditionalFormatting>
  <conditionalFormatting sqref="A11:AV12 A1:AV7 AV8:AV10 A8:AN10">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0" xr:uid="{00000000-0002-0000-0000-000000000000}">
      <formula1>"2019,2020,2021,2022,2023,2024,2025,2026,2027,2028,2029,2030"</formula1>
    </dataValidation>
    <dataValidation type="list" allowBlank="1" sqref="C7:C10"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77"/>
  <sheetViews>
    <sheetView topLeftCell="A75" workbookViewId="0">
      <selection activeCell="E105" sqref="E105"/>
    </sheetView>
  </sheetViews>
  <sheetFormatPr defaultColWidth="14.42578125" defaultRowHeight="15.75" customHeight="1"/>
  <cols>
    <col min="40" max="40" width="53.7109375" customWidth="1"/>
    <col min="48" max="48" width="14.42578125" style="52"/>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1"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2" t="s">
        <v>47</v>
      </c>
    </row>
    <row r="3" spans="1:48" ht="345.75" customHeight="1">
      <c r="A3">
        <v>1</v>
      </c>
      <c r="B3">
        <v>2020</v>
      </c>
      <c r="C3" t="s">
        <v>94</v>
      </c>
      <c r="D3" t="s">
        <v>117</v>
      </c>
      <c r="E3" t="s">
        <v>50</v>
      </c>
      <c r="G3">
        <v>1</v>
      </c>
      <c r="H3">
        <v>1.5</v>
      </c>
      <c r="L3">
        <v>1.5</v>
      </c>
      <c r="M3">
        <v>1</v>
      </c>
      <c r="N3">
        <v>2</v>
      </c>
      <c r="O3">
        <v>1</v>
      </c>
      <c r="R3">
        <v>2.5</v>
      </c>
      <c r="S3">
        <v>1</v>
      </c>
      <c r="T3">
        <v>0.5</v>
      </c>
      <c r="U3">
        <v>3.5</v>
      </c>
      <c r="V3">
        <v>0.5</v>
      </c>
      <c r="Z3">
        <v>1.5</v>
      </c>
      <c r="AB3">
        <v>2</v>
      </c>
      <c r="AC3">
        <v>1.5</v>
      </c>
      <c r="AK3">
        <v>21</v>
      </c>
      <c r="AL3" t="s">
        <v>50</v>
      </c>
      <c r="AM3" t="s">
        <v>99</v>
      </c>
      <c r="AN3" s="67" t="s">
        <v>122</v>
      </c>
      <c r="AO3">
        <v>95.5</v>
      </c>
      <c r="AP3">
        <v>18</v>
      </c>
      <c r="AQ3">
        <v>72</v>
      </c>
      <c r="AS3">
        <v>185.5</v>
      </c>
      <c r="AT3">
        <v>0.84140969162995594</v>
      </c>
      <c r="AU3">
        <v>0.15859030837004406</v>
      </c>
      <c r="AV3" s="52">
        <v>43865.498171296298</v>
      </c>
    </row>
    <row r="4" spans="1:48" ht="88.5" customHeight="1">
      <c r="E4" t="s">
        <v>98</v>
      </c>
      <c r="L4">
        <v>0.5</v>
      </c>
      <c r="AK4">
        <v>0.5</v>
      </c>
      <c r="AL4" t="s">
        <v>98</v>
      </c>
      <c r="AM4" t="s">
        <v>99</v>
      </c>
      <c r="AN4" s="66" t="s">
        <v>101</v>
      </c>
    </row>
    <row r="5" spans="1:48" ht="102.75" customHeight="1">
      <c r="E5" t="s">
        <v>53</v>
      </c>
      <c r="G5">
        <v>2</v>
      </c>
      <c r="M5">
        <v>3.5</v>
      </c>
      <c r="N5">
        <v>2</v>
      </c>
      <c r="O5">
        <v>0.5</v>
      </c>
      <c r="AK5">
        <v>8</v>
      </c>
      <c r="AL5" t="s">
        <v>53</v>
      </c>
      <c r="AM5" t="s">
        <v>99</v>
      </c>
      <c r="AN5" s="66" t="s">
        <v>102</v>
      </c>
    </row>
    <row r="6" spans="1:48" ht="15.75" customHeight="1">
      <c r="E6" t="s">
        <v>67</v>
      </c>
      <c r="Z6">
        <v>0.5</v>
      </c>
      <c r="AK6">
        <v>0.5</v>
      </c>
      <c r="AL6" t="s">
        <v>67</v>
      </c>
      <c r="AM6" t="s">
        <v>99</v>
      </c>
      <c r="AN6" t="s">
        <v>103</v>
      </c>
    </row>
    <row r="7" spans="1:48" ht="15.75" customHeight="1">
      <c r="E7" t="s">
        <v>68</v>
      </c>
      <c r="V7">
        <v>0.5</v>
      </c>
      <c r="Z7">
        <v>1.5</v>
      </c>
      <c r="AC7">
        <v>0.5</v>
      </c>
      <c r="AK7">
        <v>2.5</v>
      </c>
      <c r="AL7" t="s">
        <v>68</v>
      </c>
      <c r="AM7" t="s">
        <v>99</v>
      </c>
      <c r="AN7" t="s">
        <v>104</v>
      </c>
    </row>
    <row r="8" spans="1:48" ht="15.75" customHeight="1">
      <c r="E8" t="s">
        <v>96</v>
      </c>
      <c r="T8">
        <v>0.5</v>
      </c>
      <c r="Z8">
        <v>0.5</v>
      </c>
      <c r="AK8">
        <v>1</v>
      </c>
      <c r="AL8" t="s">
        <v>96</v>
      </c>
      <c r="AM8" t="s">
        <v>99</v>
      </c>
      <c r="AN8" t="s">
        <v>105</v>
      </c>
    </row>
    <row r="9" spans="1:48" ht="15.75" customHeight="1">
      <c r="E9" t="s">
        <v>58</v>
      </c>
      <c r="G9">
        <v>4</v>
      </c>
      <c r="L9">
        <v>0.5</v>
      </c>
      <c r="AK9">
        <v>4.5</v>
      </c>
      <c r="AL9" t="s">
        <v>58</v>
      </c>
      <c r="AM9" t="s">
        <v>99</v>
      </c>
      <c r="AN9" t="s">
        <v>106</v>
      </c>
    </row>
    <row r="10" spans="1:48" ht="15.75" customHeight="1">
      <c r="E10" t="s">
        <v>77</v>
      </c>
      <c r="N10">
        <v>0.5</v>
      </c>
      <c r="AK10">
        <v>0.5</v>
      </c>
      <c r="AL10" t="s">
        <v>77</v>
      </c>
      <c r="AM10" t="s">
        <v>99</v>
      </c>
      <c r="AN10" t="s">
        <v>107</v>
      </c>
    </row>
    <row r="11" spans="1:48" ht="15.75" customHeight="1">
      <c r="E11" t="s">
        <v>83</v>
      </c>
      <c r="F11">
        <v>8</v>
      </c>
      <c r="K11">
        <v>8</v>
      </c>
      <c r="Y11">
        <v>8</v>
      </c>
      <c r="AA11">
        <v>8</v>
      </c>
      <c r="AF11">
        <v>8</v>
      </c>
      <c r="AG11">
        <v>8</v>
      </c>
      <c r="AH11">
        <v>8</v>
      </c>
      <c r="AI11">
        <v>8</v>
      </c>
      <c r="AJ11">
        <v>8</v>
      </c>
      <c r="AK11">
        <v>72</v>
      </c>
      <c r="AL11" t="s">
        <v>83</v>
      </c>
      <c r="AM11" t="s">
        <v>99</v>
      </c>
      <c r="AN11" t="s">
        <v>108</v>
      </c>
    </row>
    <row r="12" spans="1:48" ht="15.75" customHeight="1">
      <c r="E12" t="s">
        <v>57</v>
      </c>
      <c r="G12">
        <v>0.5</v>
      </c>
      <c r="N12">
        <v>0.5</v>
      </c>
      <c r="R12">
        <v>1.5</v>
      </c>
      <c r="S12">
        <v>3</v>
      </c>
      <c r="T12">
        <v>0.5</v>
      </c>
      <c r="U12">
        <v>0.5</v>
      </c>
      <c r="V12">
        <v>1.5</v>
      </c>
      <c r="Z12">
        <v>0.5</v>
      </c>
      <c r="AC12">
        <v>2</v>
      </c>
      <c r="AK12">
        <v>10.5</v>
      </c>
      <c r="AL12" t="s">
        <v>57</v>
      </c>
      <c r="AM12" t="s">
        <v>99</v>
      </c>
      <c r="AN12" t="s">
        <v>109</v>
      </c>
    </row>
    <row r="13" spans="1:48" ht="15.75" customHeight="1">
      <c r="E13" t="s">
        <v>60</v>
      </c>
      <c r="R13">
        <v>3</v>
      </c>
      <c r="S13">
        <v>2.5</v>
      </c>
      <c r="T13">
        <v>0.5</v>
      </c>
      <c r="U13">
        <v>0.5</v>
      </c>
      <c r="AC13">
        <v>1</v>
      </c>
      <c r="AK13">
        <v>7.5</v>
      </c>
      <c r="AL13" t="s">
        <v>60</v>
      </c>
      <c r="AM13" t="s">
        <v>99</v>
      </c>
      <c r="AN13" t="s">
        <v>110</v>
      </c>
    </row>
    <row r="14" spans="1:48" ht="15.75" customHeight="1">
      <c r="E14" t="s">
        <v>71</v>
      </c>
      <c r="G14">
        <v>0.5</v>
      </c>
      <c r="H14">
        <v>6.5</v>
      </c>
      <c r="L14">
        <v>5</v>
      </c>
      <c r="M14">
        <v>3.5</v>
      </c>
      <c r="N14">
        <v>2</v>
      </c>
      <c r="O14">
        <v>4.5</v>
      </c>
      <c r="S14">
        <v>1.5</v>
      </c>
      <c r="T14">
        <v>5</v>
      </c>
      <c r="U14">
        <v>0.5</v>
      </c>
      <c r="V14">
        <v>2</v>
      </c>
      <c r="Z14">
        <v>1.5</v>
      </c>
      <c r="AK14">
        <v>32.5</v>
      </c>
      <c r="AL14" t="s">
        <v>71</v>
      </c>
      <c r="AM14" t="s">
        <v>99</v>
      </c>
      <c r="AN14" t="s">
        <v>111</v>
      </c>
    </row>
    <row r="15" spans="1:48" ht="15.75" customHeight="1">
      <c r="E15" t="s">
        <v>64</v>
      </c>
      <c r="AB15">
        <v>0.5</v>
      </c>
      <c r="AK15">
        <v>0.5</v>
      </c>
      <c r="AL15" t="s">
        <v>64</v>
      </c>
      <c r="AM15" t="s">
        <v>99</v>
      </c>
      <c r="AN15" t="s">
        <v>112</v>
      </c>
    </row>
    <row r="16" spans="1:48" ht="15.75" customHeight="1">
      <c r="E16" t="s">
        <v>75</v>
      </c>
      <c r="L16">
        <v>1</v>
      </c>
      <c r="N16">
        <v>0.5</v>
      </c>
      <c r="T16">
        <v>1</v>
      </c>
      <c r="AB16">
        <v>1</v>
      </c>
      <c r="AK16">
        <v>3.5</v>
      </c>
      <c r="AL16" t="s">
        <v>75</v>
      </c>
      <c r="AM16" t="s">
        <v>99</v>
      </c>
      <c r="AN16" t="s">
        <v>113</v>
      </c>
    </row>
    <row r="17" spans="1:48" ht="15.75" customHeight="1">
      <c r="E17" t="s">
        <v>79</v>
      </c>
      <c r="N17">
        <v>0.5</v>
      </c>
      <c r="O17">
        <v>2.5</v>
      </c>
      <c r="R17">
        <v>0.5</v>
      </c>
      <c r="U17">
        <v>1.5</v>
      </c>
      <c r="V17">
        <v>1</v>
      </c>
      <c r="Z17">
        <v>2</v>
      </c>
      <c r="AC17">
        <v>0.5</v>
      </c>
      <c r="AK17">
        <v>8.5</v>
      </c>
      <c r="AL17" t="s">
        <v>79</v>
      </c>
      <c r="AM17" t="s">
        <v>99</v>
      </c>
      <c r="AN17" t="s">
        <v>114</v>
      </c>
    </row>
    <row r="18" spans="1:48" ht="15.75" customHeight="1">
      <c r="E18" t="s">
        <v>74</v>
      </c>
      <c r="AB18">
        <v>4</v>
      </c>
      <c r="AC18">
        <v>1</v>
      </c>
      <c r="AK18">
        <v>5</v>
      </c>
      <c r="AL18" t="s">
        <v>74</v>
      </c>
      <c r="AM18" t="s">
        <v>99</v>
      </c>
      <c r="AN18" t="s">
        <v>115</v>
      </c>
    </row>
    <row r="19" spans="1:48" ht="15.75" customHeight="1">
      <c r="E19" t="s">
        <v>55</v>
      </c>
      <c r="R19">
        <v>1</v>
      </c>
      <c r="U19">
        <v>1.5</v>
      </c>
      <c r="V19">
        <v>1</v>
      </c>
      <c r="Z19">
        <v>1</v>
      </c>
      <c r="AB19">
        <v>0.5</v>
      </c>
      <c r="AC19">
        <v>2</v>
      </c>
      <c r="AK19">
        <v>7</v>
      </c>
      <c r="AL19" t="s">
        <v>55</v>
      </c>
      <c r="AM19" t="s">
        <v>99</v>
      </c>
      <c r="AN19" t="s">
        <v>116</v>
      </c>
    </row>
    <row r="20" spans="1:48" ht="15.75" customHeight="1">
      <c r="A20" t="s">
        <v>48</v>
      </c>
      <c r="E20" t="s">
        <v>37</v>
      </c>
      <c r="F20">
        <v>8</v>
      </c>
      <c r="G20">
        <v>8</v>
      </c>
      <c r="H20">
        <v>8</v>
      </c>
      <c r="I20">
        <v>0</v>
      </c>
      <c r="J20">
        <v>0</v>
      </c>
      <c r="K20">
        <v>8</v>
      </c>
      <c r="L20">
        <v>8.5</v>
      </c>
      <c r="M20">
        <v>8</v>
      </c>
      <c r="N20">
        <v>8</v>
      </c>
      <c r="O20">
        <v>8.5</v>
      </c>
      <c r="P20">
        <v>0</v>
      </c>
      <c r="Q20">
        <v>0</v>
      </c>
      <c r="R20">
        <v>8.5</v>
      </c>
      <c r="S20">
        <v>8</v>
      </c>
      <c r="T20">
        <v>8</v>
      </c>
      <c r="U20">
        <v>8</v>
      </c>
      <c r="V20">
        <v>6.5</v>
      </c>
      <c r="W20">
        <v>0</v>
      </c>
      <c r="X20">
        <v>0</v>
      </c>
      <c r="Y20">
        <v>8</v>
      </c>
      <c r="Z20">
        <v>9</v>
      </c>
      <c r="AA20">
        <v>8</v>
      </c>
      <c r="AB20">
        <v>8</v>
      </c>
      <c r="AC20">
        <v>8.5</v>
      </c>
      <c r="AD20">
        <v>0</v>
      </c>
      <c r="AE20">
        <v>0</v>
      </c>
      <c r="AF20">
        <v>8</v>
      </c>
      <c r="AG20">
        <v>8</v>
      </c>
      <c r="AH20">
        <v>8</v>
      </c>
      <c r="AI20">
        <v>8</v>
      </c>
      <c r="AJ20">
        <v>8</v>
      </c>
      <c r="AK20">
        <v>185.5</v>
      </c>
    </row>
    <row r="21" spans="1:48" ht="15.75" customHeight="1">
      <c r="A21" t="s">
        <v>48</v>
      </c>
      <c r="E21" t="s">
        <v>49</v>
      </c>
    </row>
    <row r="22" spans="1:48" ht="15.75" customHeight="1">
      <c r="A22" t="s">
        <v>0</v>
      </c>
      <c r="B22" t="s">
        <v>1</v>
      </c>
      <c r="C22" t="s">
        <v>2</v>
      </c>
      <c r="D22" t="s">
        <v>3</v>
      </c>
      <c r="E22" t="s">
        <v>4</v>
      </c>
      <c r="F22">
        <v>43862</v>
      </c>
      <c r="G22">
        <v>43863</v>
      </c>
      <c r="H22">
        <v>43864</v>
      </c>
      <c r="I22">
        <v>43865</v>
      </c>
      <c r="J22">
        <v>43866</v>
      </c>
      <c r="K22">
        <v>43867</v>
      </c>
      <c r="L22">
        <v>43868</v>
      </c>
      <c r="M22">
        <v>43869</v>
      </c>
      <c r="N22">
        <v>43870</v>
      </c>
      <c r="O22">
        <v>43871</v>
      </c>
      <c r="P22">
        <v>43872</v>
      </c>
      <c r="Q22">
        <v>43873</v>
      </c>
      <c r="R22">
        <v>43874</v>
      </c>
      <c r="S22">
        <v>43875</v>
      </c>
      <c r="T22">
        <v>43876</v>
      </c>
      <c r="U22">
        <v>43877</v>
      </c>
      <c r="V22">
        <v>43878</v>
      </c>
      <c r="W22">
        <v>43879</v>
      </c>
      <c r="X22">
        <v>43880</v>
      </c>
      <c r="Y22">
        <v>43881</v>
      </c>
      <c r="Z22">
        <v>43882</v>
      </c>
      <c r="AA22">
        <v>43883</v>
      </c>
      <c r="AB22">
        <v>43884</v>
      </c>
      <c r="AC22">
        <v>43885</v>
      </c>
      <c r="AD22">
        <v>43886</v>
      </c>
      <c r="AE22">
        <v>43887</v>
      </c>
      <c r="AF22">
        <v>43888</v>
      </c>
      <c r="AG22">
        <v>43889</v>
      </c>
      <c r="AH22">
        <v>43890</v>
      </c>
      <c r="AI22">
        <v>43891</v>
      </c>
      <c r="AJ22">
        <v>43892</v>
      </c>
      <c r="AK22" t="s">
        <v>37</v>
      </c>
      <c r="AM22" t="s">
        <v>39</v>
      </c>
      <c r="AN22" t="s">
        <v>40</v>
      </c>
      <c r="AO22" t="s">
        <v>35</v>
      </c>
      <c r="AP22" t="s">
        <v>41</v>
      </c>
      <c r="AQ22" t="s">
        <v>42</v>
      </c>
      <c r="AS22" t="s">
        <v>44</v>
      </c>
      <c r="AT22" t="s">
        <v>45</v>
      </c>
      <c r="AU22" t="s">
        <v>46</v>
      </c>
      <c r="AV22" s="52" t="s">
        <v>47</v>
      </c>
    </row>
    <row r="23" spans="1:48" ht="15.75" customHeight="1">
      <c r="A23">
        <v>2</v>
      </c>
      <c r="B23">
        <v>2020</v>
      </c>
      <c r="C23" t="s">
        <v>100</v>
      </c>
      <c r="D23" t="s">
        <v>145</v>
      </c>
      <c r="E23" t="s">
        <v>55</v>
      </c>
      <c r="I23">
        <v>0.5</v>
      </c>
      <c r="J23">
        <v>1</v>
      </c>
      <c r="Y23">
        <v>2</v>
      </c>
      <c r="Z23">
        <v>2</v>
      </c>
      <c r="AC23">
        <v>0.5</v>
      </c>
      <c r="AD23">
        <v>1</v>
      </c>
      <c r="AF23">
        <v>0.5</v>
      </c>
      <c r="AK23">
        <v>7.5</v>
      </c>
      <c r="AL23" t="s">
        <v>55</v>
      </c>
      <c r="AM23" t="s">
        <v>99</v>
      </c>
      <c r="AN23" t="s">
        <v>140</v>
      </c>
      <c r="AO23">
        <v>111</v>
      </c>
      <c r="AP23">
        <v>33</v>
      </c>
      <c r="AQ23">
        <v>16</v>
      </c>
      <c r="AS23">
        <v>160</v>
      </c>
      <c r="AT23">
        <v>0.77083333333333337</v>
      </c>
      <c r="AU23">
        <v>0.22916666666666666</v>
      </c>
      <c r="AV23" s="52">
        <v>43892.321400462963</v>
      </c>
    </row>
    <row r="24" spans="1:48" ht="15.75" customHeight="1">
      <c r="E24" t="s">
        <v>64</v>
      </c>
      <c r="AG24">
        <v>0.5</v>
      </c>
      <c r="AK24">
        <v>0.5</v>
      </c>
      <c r="AL24" t="s">
        <v>64</v>
      </c>
      <c r="AM24" t="s">
        <v>99</v>
      </c>
      <c r="AN24" t="s">
        <v>143</v>
      </c>
    </row>
    <row r="25" spans="1:48" ht="15.75" customHeight="1">
      <c r="E25" t="s">
        <v>71</v>
      </c>
      <c r="AD25">
        <v>1</v>
      </c>
      <c r="AE25">
        <v>2.5</v>
      </c>
      <c r="AG25">
        <v>0.5</v>
      </c>
      <c r="AK25">
        <v>4</v>
      </c>
      <c r="AL25" t="s">
        <v>71</v>
      </c>
      <c r="AM25" t="s">
        <v>99</v>
      </c>
      <c r="AN25" t="s">
        <v>136</v>
      </c>
    </row>
    <row r="26" spans="1:48" ht="15.75" customHeight="1">
      <c r="E26" t="s">
        <v>78</v>
      </c>
      <c r="AC26">
        <v>0.5</v>
      </c>
      <c r="AK26">
        <v>0.5</v>
      </c>
      <c r="AL26" t="s">
        <v>78</v>
      </c>
      <c r="AM26" t="s">
        <v>99</v>
      </c>
      <c r="AN26" t="s">
        <v>133</v>
      </c>
    </row>
    <row r="27" spans="1:48" ht="15.75" customHeight="1">
      <c r="E27" t="s">
        <v>75</v>
      </c>
      <c r="AC27">
        <v>0.5</v>
      </c>
      <c r="AK27">
        <v>0.5</v>
      </c>
      <c r="AL27" t="s">
        <v>75</v>
      </c>
      <c r="AM27" t="s">
        <v>99</v>
      </c>
      <c r="AN27" t="s">
        <v>132</v>
      </c>
    </row>
    <row r="28" spans="1:48" ht="15.75" customHeight="1">
      <c r="E28" t="s">
        <v>68</v>
      </c>
      <c r="R28">
        <v>0.5</v>
      </c>
      <c r="AK28">
        <v>0.5</v>
      </c>
      <c r="AL28" t="s">
        <v>68</v>
      </c>
      <c r="AM28" t="s">
        <v>99</v>
      </c>
      <c r="AN28" t="s">
        <v>128</v>
      </c>
    </row>
    <row r="29" spans="1:48" ht="15.75" customHeight="1">
      <c r="E29" t="s">
        <v>127</v>
      </c>
      <c r="J29">
        <v>1</v>
      </c>
      <c r="Q29">
        <v>1</v>
      </c>
      <c r="W29">
        <v>2</v>
      </c>
      <c r="X29">
        <v>1.5</v>
      </c>
      <c r="Z29">
        <v>2</v>
      </c>
      <c r="AC29">
        <v>0.5</v>
      </c>
      <c r="AD29">
        <v>0.5</v>
      </c>
      <c r="AE29">
        <v>0.5</v>
      </c>
      <c r="AF29">
        <v>2</v>
      </c>
      <c r="AK29">
        <v>11</v>
      </c>
      <c r="AL29" t="s">
        <v>127</v>
      </c>
      <c r="AM29" t="s">
        <v>99</v>
      </c>
      <c r="AN29" t="s">
        <v>135</v>
      </c>
    </row>
    <row r="30" spans="1:48" ht="15.75" customHeight="1">
      <c r="E30" t="s">
        <v>85</v>
      </c>
      <c r="Q30">
        <v>0.5</v>
      </c>
      <c r="S30">
        <v>1</v>
      </c>
      <c r="AK30">
        <v>1.5</v>
      </c>
      <c r="AL30" t="s">
        <v>85</v>
      </c>
      <c r="AM30" t="s">
        <v>99</v>
      </c>
      <c r="AN30" t="s">
        <v>129</v>
      </c>
    </row>
    <row r="31" spans="1:48" ht="15.75" customHeight="1">
      <c r="E31" t="s">
        <v>70</v>
      </c>
      <c r="Q31">
        <v>0.5</v>
      </c>
      <c r="AK31">
        <v>0.5</v>
      </c>
      <c r="AL31" t="s">
        <v>70</v>
      </c>
      <c r="AM31" t="s">
        <v>99</v>
      </c>
      <c r="AN31" t="s">
        <v>124</v>
      </c>
    </row>
    <row r="32" spans="1:48" ht="15.75" customHeight="1">
      <c r="E32" t="s">
        <v>91</v>
      </c>
      <c r="P32">
        <v>0.5</v>
      </c>
      <c r="R32">
        <v>7</v>
      </c>
      <c r="S32">
        <v>6</v>
      </c>
      <c r="W32">
        <v>4</v>
      </c>
      <c r="AK32">
        <v>17.5</v>
      </c>
      <c r="AL32" t="s">
        <v>91</v>
      </c>
      <c r="AM32" t="s">
        <v>99</v>
      </c>
      <c r="AN32" t="s">
        <v>130</v>
      </c>
    </row>
    <row r="33" spans="1:40" ht="15.75" customHeight="1">
      <c r="E33" t="s">
        <v>59</v>
      </c>
      <c r="P33">
        <v>3.5</v>
      </c>
      <c r="X33">
        <v>2.5</v>
      </c>
      <c r="AK33">
        <v>6</v>
      </c>
      <c r="AL33" t="s">
        <v>59</v>
      </c>
      <c r="AM33" t="s">
        <v>99</v>
      </c>
      <c r="AN33" t="s">
        <v>131</v>
      </c>
    </row>
    <row r="34" spans="1:40" ht="15.75" customHeight="1">
      <c r="E34" t="s">
        <v>54</v>
      </c>
      <c r="K34">
        <v>3</v>
      </c>
      <c r="L34">
        <v>3</v>
      </c>
      <c r="AC34">
        <v>0.5</v>
      </c>
      <c r="AE34">
        <v>1</v>
      </c>
      <c r="AF34">
        <v>1</v>
      </c>
      <c r="AK34">
        <v>8.5</v>
      </c>
      <c r="AL34" t="s">
        <v>54</v>
      </c>
      <c r="AM34" t="s">
        <v>99</v>
      </c>
      <c r="AN34" t="s">
        <v>141</v>
      </c>
    </row>
    <row r="35" spans="1:40" ht="15.75" customHeight="1">
      <c r="E35" t="s">
        <v>53</v>
      </c>
      <c r="J35">
        <v>0.5</v>
      </c>
      <c r="AK35">
        <v>0.5</v>
      </c>
      <c r="AL35" t="s">
        <v>53</v>
      </c>
      <c r="AM35" t="s">
        <v>99</v>
      </c>
      <c r="AN35" t="s">
        <v>119</v>
      </c>
    </row>
    <row r="36" spans="1:40" ht="15.75" customHeight="1">
      <c r="E36" t="s">
        <v>58</v>
      </c>
      <c r="L36">
        <v>0.5</v>
      </c>
      <c r="X36">
        <v>0.5</v>
      </c>
      <c r="Y36">
        <v>0.5</v>
      </c>
      <c r="AF36">
        <v>2</v>
      </c>
      <c r="AG36">
        <v>6</v>
      </c>
      <c r="AK36">
        <v>9.5</v>
      </c>
      <c r="AL36" t="s">
        <v>58</v>
      </c>
      <c r="AM36" t="s">
        <v>99</v>
      </c>
      <c r="AN36" t="s">
        <v>142</v>
      </c>
    </row>
    <row r="37" spans="1:40" ht="15.75" customHeight="1">
      <c r="E37" t="s">
        <v>65</v>
      </c>
      <c r="J37">
        <v>0.5</v>
      </c>
      <c r="AK37">
        <v>0.5</v>
      </c>
      <c r="AL37" t="s">
        <v>65</v>
      </c>
      <c r="AM37" t="s">
        <v>99</v>
      </c>
      <c r="AN37" t="s">
        <v>118</v>
      </c>
    </row>
    <row r="38" spans="1:40" ht="15.75" customHeight="1">
      <c r="E38" t="s">
        <v>63</v>
      </c>
      <c r="K38">
        <v>1</v>
      </c>
      <c r="AK38">
        <v>1</v>
      </c>
      <c r="AL38" t="s">
        <v>63</v>
      </c>
      <c r="AM38" t="s">
        <v>99</v>
      </c>
      <c r="AN38" t="s">
        <v>120</v>
      </c>
    </row>
    <row r="39" spans="1:40" ht="15.75" customHeight="1">
      <c r="E39" t="s">
        <v>56</v>
      </c>
      <c r="J39">
        <v>1</v>
      </c>
      <c r="K39">
        <v>1</v>
      </c>
      <c r="L39">
        <v>2</v>
      </c>
      <c r="AK39">
        <v>4</v>
      </c>
      <c r="AL39" t="s">
        <v>56</v>
      </c>
      <c r="AM39" t="s">
        <v>99</v>
      </c>
      <c r="AN39" t="s">
        <v>121</v>
      </c>
    </row>
    <row r="40" spans="1:40" ht="15.75" customHeight="1">
      <c r="E40" t="s">
        <v>57</v>
      </c>
      <c r="O40">
        <v>3</v>
      </c>
      <c r="P40">
        <v>2.5</v>
      </c>
      <c r="Y40">
        <v>2.5</v>
      </c>
      <c r="Z40">
        <v>0.5</v>
      </c>
      <c r="AD40">
        <v>0.5</v>
      </c>
      <c r="AK40">
        <v>9</v>
      </c>
      <c r="AL40" t="s">
        <v>57</v>
      </c>
      <c r="AM40" t="s">
        <v>99</v>
      </c>
      <c r="AN40" t="s">
        <v>134</v>
      </c>
    </row>
    <row r="41" spans="1:40" ht="15.75" customHeight="1">
      <c r="E41" t="s">
        <v>52</v>
      </c>
      <c r="I41">
        <v>0.5</v>
      </c>
      <c r="J41">
        <v>0.5</v>
      </c>
      <c r="K41">
        <v>1</v>
      </c>
      <c r="Q41">
        <v>0.5</v>
      </c>
      <c r="AK41">
        <v>2.5</v>
      </c>
      <c r="AL41" t="s">
        <v>52</v>
      </c>
      <c r="AM41" t="s">
        <v>99</v>
      </c>
      <c r="AN41" t="s">
        <v>126</v>
      </c>
    </row>
    <row r="42" spans="1:40" ht="15.75" customHeight="1">
      <c r="E42" t="s">
        <v>79</v>
      </c>
      <c r="I42">
        <v>2.5</v>
      </c>
      <c r="J42">
        <v>2.5</v>
      </c>
      <c r="L42">
        <v>0.5</v>
      </c>
      <c r="O42">
        <v>1.5</v>
      </c>
      <c r="P42">
        <v>0.5</v>
      </c>
      <c r="Q42">
        <v>2</v>
      </c>
      <c r="W42">
        <v>1</v>
      </c>
      <c r="Y42">
        <v>2</v>
      </c>
      <c r="AC42">
        <v>1</v>
      </c>
      <c r="AF42">
        <v>0.5</v>
      </c>
      <c r="AK42">
        <v>14</v>
      </c>
      <c r="AL42" t="s">
        <v>79</v>
      </c>
      <c r="AM42" t="s">
        <v>99</v>
      </c>
      <c r="AN42" t="s">
        <v>138</v>
      </c>
    </row>
    <row r="43" spans="1:40" ht="15.75" customHeight="1">
      <c r="E43" t="s">
        <v>96</v>
      </c>
      <c r="I43">
        <v>1</v>
      </c>
      <c r="J43">
        <v>1.5</v>
      </c>
      <c r="K43">
        <v>0.5</v>
      </c>
      <c r="L43">
        <v>2</v>
      </c>
      <c r="O43">
        <v>2</v>
      </c>
      <c r="X43">
        <v>0.5</v>
      </c>
      <c r="AF43">
        <v>1</v>
      </c>
      <c r="AK43">
        <v>8.5</v>
      </c>
      <c r="AL43" t="s">
        <v>96</v>
      </c>
      <c r="AM43" t="s">
        <v>99</v>
      </c>
      <c r="AN43" t="s">
        <v>137</v>
      </c>
    </row>
    <row r="44" spans="1:40" ht="15.75" customHeight="1">
      <c r="E44" t="s">
        <v>74</v>
      </c>
      <c r="I44">
        <v>0</v>
      </c>
      <c r="Q44">
        <v>0.5</v>
      </c>
      <c r="AK44">
        <v>0.5</v>
      </c>
      <c r="AL44" t="s">
        <v>74</v>
      </c>
      <c r="AM44" t="s">
        <v>99</v>
      </c>
      <c r="AN44" t="s">
        <v>125</v>
      </c>
    </row>
    <row r="45" spans="1:40" ht="15.75" customHeight="1">
      <c r="E45" t="s">
        <v>60</v>
      </c>
      <c r="I45">
        <v>0.5</v>
      </c>
      <c r="K45">
        <v>0.5</v>
      </c>
      <c r="Q45">
        <v>1.5</v>
      </c>
      <c r="X45">
        <v>2</v>
      </c>
      <c r="Z45">
        <v>3</v>
      </c>
      <c r="AC45">
        <v>3</v>
      </c>
      <c r="AD45">
        <v>5</v>
      </c>
      <c r="AE45">
        <v>3</v>
      </c>
      <c r="AF45">
        <v>1</v>
      </c>
      <c r="AK45">
        <v>19.5</v>
      </c>
      <c r="AL45" t="s">
        <v>60</v>
      </c>
      <c r="AM45" t="s">
        <v>99</v>
      </c>
      <c r="AN45" t="s">
        <v>139</v>
      </c>
    </row>
    <row r="46" spans="1:40" ht="15.75" customHeight="1">
      <c r="E46" t="s">
        <v>83</v>
      </c>
      <c r="H46">
        <v>8</v>
      </c>
      <c r="V46">
        <v>8</v>
      </c>
      <c r="AK46">
        <v>16</v>
      </c>
      <c r="AL46" t="s">
        <v>83</v>
      </c>
      <c r="AM46" t="s">
        <v>99</v>
      </c>
      <c r="AN46" t="s">
        <v>123</v>
      </c>
    </row>
    <row r="47" spans="1:40" ht="15.75" customHeight="1">
      <c r="E47" t="s">
        <v>50</v>
      </c>
      <c r="I47">
        <v>3</v>
      </c>
      <c r="J47">
        <v>0</v>
      </c>
      <c r="K47">
        <v>1.5</v>
      </c>
      <c r="O47">
        <v>1.5</v>
      </c>
      <c r="P47">
        <v>1</v>
      </c>
      <c r="Q47">
        <v>1.5</v>
      </c>
      <c r="R47">
        <v>0.5</v>
      </c>
      <c r="W47">
        <v>1</v>
      </c>
      <c r="X47">
        <v>0.5</v>
      </c>
      <c r="Y47">
        <v>1</v>
      </c>
      <c r="Z47">
        <v>0.5</v>
      </c>
      <c r="AC47">
        <v>1.5</v>
      </c>
      <c r="AD47">
        <v>0.5</v>
      </c>
      <c r="AE47">
        <v>1</v>
      </c>
      <c r="AG47">
        <v>1</v>
      </c>
      <c r="AK47">
        <v>16</v>
      </c>
      <c r="AL47" t="s">
        <v>50</v>
      </c>
      <c r="AM47" t="s">
        <v>99</v>
      </c>
      <c r="AN47" t="s">
        <v>144</v>
      </c>
    </row>
    <row r="48" spans="1:40" ht="15.75" customHeight="1">
      <c r="A48" t="s">
        <v>48</v>
      </c>
      <c r="E48" t="s">
        <v>37</v>
      </c>
      <c r="F48">
        <v>0</v>
      </c>
      <c r="G48">
        <v>0</v>
      </c>
      <c r="H48">
        <v>8</v>
      </c>
      <c r="I48">
        <v>8</v>
      </c>
      <c r="J48">
        <v>8.5</v>
      </c>
      <c r="K48">
        <v>8.5</v>
      </c>
      <c r="L48">
        <v>8</v>
      </c>
      <c r="M48">
        <v>0</v>
      </c>
      <c r="N48">
        <v>0</v>
      </c>
      <c r="O48">
        <v>8</v>
      </c>
      <c r="P48">
        <v>8</v>
      </c>
      <c r="Q48">
        <v>8</v>
      </c>
      <c r="R48">
        <v>8</v>
      </c>
      <c r="S48">
        <v>7</v>
      </c>
      <c r="T48">
        <v>0</v>
      </c>
      <c r="U48">
        <v>0</v>
      </c>
      <c r="V48">
        <v>8</v>
      </c>
      <c r="W48">
        <v>8</v>
      </c>
      <c r="X48">
        <v>7.5</v>
      </c>
      <c r="Y48">
        <v>8</v>
      </c>
      <c r="Z48">
        <v>8</v>
      </c>
      <c r="AA48">
        <v>0</v>
      </c>
      <c r="AB48">
        <v>0</v>
      </c>
      <c r="AC48">
        <v>8</v>
      </c>
      <c r="AD48">
        <v>8.5</v>
      </c>
      <c r="AE48">
        <v>8</v>
      </c>
      <c r="AF48">
        <v>8</v>
      </c>
      <c r="AG48">
        <v>8</v>
      </c>
      <c r="AH48">
        <v>0</v>
      </c>
      <c r="AI48">
        <v>0</v>
      </c>
      <c r="AJ48">
        <v>0</v>
      </c>
      <c r="AK48">
        <v>160</v>
      </c>
    </row>
    <row r="49" spans="1:48" ht="15.75" customHeight="1">
      <c r="A49" t="s">
        <v>48</v>
      </c>
      <c r="E49" t="s">
        <v>49</v>
      </c>
    </row>
    <row r="50" spans="1:48" ht="15.75" customHeight="1">
      <c r="A50" t="s">
        <v>0</v>
      </c>
      <c r="B50" t="s">
        <v>1</v>
      </c>
      <c r="C50" t="s">
        <v>2</v>
      </c>
      <c r="D50" t="s">
        <v>3</v>
      </c>
      <c r="E50" t="s">
        <v>4</v>
      </c>
      <c r="F50">
        <v>43862</v>
      </c>
      <c r="G50">
        <v>43863</v>
      </c>
      <c r="H50">
        <v>43864</v>
      </c>
      <c r="I50">
        <v>43865</v>
      </c>
      <c r="J50">
        <v>43866</v>
      </c>
      <c r="K50">
        <v>43867</v>
      </c>
      <c r="L50">
        <v>43868</v>
      </c>
      <c r="M50">
        <v>43869</v>
      </c>
      <c r="N50">
        <v>43870</v>
      </c>
      <c r="O50">
        <v>43871</v>
      </c>
      <c r="P50">
        <v>43872</v>
      </c>
      <c r="Q50">
        <v>43873</v>
      </c>
      <c r="R50">
        <v>43874</v>
      </c>
      <c r="S50">
        <v>43875</v>
      </c>
      <c r="T50">
        <v>43876</v>
      </c>
      <c r="U50">
        <v>43877</v>
      </c>
      <c r="V50">
        <v>43878</v>
      </c>
      <c r="W50">
        <v>43879</v>
      </c>
      <c r="X50">
        <v>43880</v>
      </c>
      <c r="Y50">
        <v>43881</v>
      </c>
      <c r="Z50">
        <v>43882</v>
      </c>
      <c r="AA50">
        <v>43883</v>
      </c>
      <c r="AB50">
        <v>43884</v>
      </c>
      <c r="AC50">
        <v>43885</v>
      </c>
      <c r="AD50">
        <v>43886</v>
      </c>
      <c r="AE50">
        <v>43887</v>
      </c>
      <c r="AF50">
        <v>43888</v>
      </c>
      <c r="AG50">
        <v>43889</v>
      </c>
      <c r="AH50">
        <v>43890</v>
      </c>
      <c r="AI50">
        <v>43891</v>
      </c>
      <c r="AJ50">
        <v>43892</v>
      </c>
      <c r="AK50" t="s">
        <v>37</v>
      </c>
      <c r="AM50" t="s">
        <v>39</v>
      </c>
      <c r="AN50" t="s">
        <v>40</v>
      </c>
      <c r="AO50" t="s">
        <v>35</v>
      </c>
      <c r="AP50" t="s">
        <v>41</v>
      </c>
      <c r="AQ50" t="s">
        <v>42</v>
      </c>
      <c r="AS50" t="s">
        <v>44</v>
      </c>
      <c r="AT50" t="s">
        <v>45</v>
      </c>
      <c r="AU50" t="s">
        <v>46</v>
      </c>
      <c r="AV50" s="52" t="s">
        <v>47</v>
      </c>
    </row>
    <row r="51" spans="1:48" ht="15.75" customHeight="1">
      <c r="A51">
        <v>2</v>
      </c>
      <c r="B51">
        <v>2020</v>
      </c>
      <c r="C51" t="s">
        <v>100</v>
      </c>
      <c r="D51" t="s">
        <v>145</v>
      </c>
      <c r="E51" t="s">
        <v>55</v>
      </c>
      <c r="I51">
        <v>0.5</v>
      </c>
      <c r="J51">
        <v>1</v>
      </c>
      <c r="Y51">
        <v>2</v>
      </c>
      <c r="Z51">
        <v>2</v>
      </c>
      <c r="AC51">
        <v>0.5</v>
      </c>
      <c r="AD51">
        <v>1</v>
      </c>
      <c r="AF51">
        <v>0.5</v>
      </c>
      <c r="AK51">
        <v>7.5</v>
      </c>
      <c r="AL51" t="s">
        <v>55</v>
      </c>
      <c r="AM51" t="s">
        <v>99</v>
      </c>
      <c r="AN51" t="s">
        <v>140</v>
      </c>
      <c r="AO51">
        <v>111</v>
      </c>
      <c r="AP51">
        <v>33</v>
      </c>
      <c r="AQ51">
        <v>16</v>
      </c>
      <c r="AS51">
        <v>160</v>
      </c>
      <c r="AT51">
        <v>0.77083333333333337</v>
      </c>
      <c r="AU51">
        <v>0.22916666666666666</v>
      </c>
      <c r="AV51" s="52">
        <v>43892.321574074071</v>
      </c>
    </row>
    <row r="52" spans="1:48" ht="15.75" customHeight="1">
      <c r="E52" t="s">
        <v>64</v>
      </c>
      <c r="AG52">
        <v>0.5</v>
      </c>
      <c r="AK52">
        <v>0.5</v>
      </c>
      <c r="AL52" t="s">
        <v>64</v>
      </c>
      <c r="AM52" t="s">
        <v>99</v>
      </c>
      <c r="AN52" t="s">
        <v>143</v>
      </c>
    </row>
    <row r="53" spans="1:48" ht="15.75" customHeight="1">
      <c r="E53" t="s">
        <v>71</v>
      </c>
      <c r="AD53">
        <v>1</v>
      </c>
      <c r="AE53">
        <v>2.5</v>
      </c>
      <c r="AG53">
        <v>0.5</v>
      </c>
      <c r="AK53">
        <v>4</v>
      </c>
      <c r="AL53" t="s">
        <v>71</v>
      </c>
      <c r="AM53" t="s">
        <v>99</v>
      </c>
      <c r="AN53" t="s">
        <v>136</v>
      </c>
    </row>
    <row r="54" spans="1:48" ht="15.75" customHeight="1">
      <c r="E54" t="s">
        <v>78</v>
      </c>
      <c r="AC54">
        <v>0.5</v>
      </c>
      <c r="AK54">
        <v>0.5</v>
      </c>
      <c r="AL54" t="s">
        <v>78</v>
      </c>
      <c r="AM54" t="s">
        <v>99</v>
      </c>
      <c r="AN54" t="s">
        <v>133</v>
      </c>
    </row>
    <row r="55" spans="1:48" ht="15.75" customHeight="1">
      <c r="E55" t="s">
        <v>75</v>
      </c>
      <c r="AC55">
        <v>0.5</v>
      </c>
      <c r="AK55">
        <v>0.5</v>
      </c>
      <c r="AL55" t="s">
        <v>75</v>
      </c>
      <c r="AM55" t="s">
        <v>99</v>
      </c>
      <c r="AN55" t="s">
        <v>132</v>
      </c>
    </row>
    <row r="56" spans="1:48" ht="15.75" customHeight="1">
      <c r="E56" t="s">
        <v>68</v>
      </c>
      <c r="R56">
        <v>0.5</v>
      </c>
      <c r="AK56">
        <v>0.5</v>
      </c>
      <c r="AL56" t="s">
        <v>68</v>
      </c>
      <c r="AM56" t="s">
        <v>99</v>
      </c>
      <c r="AN56" t="s">
        <v>128</v>
      </c>
    </row>
    <row r="57" spans="1:48" ht="15.75" customHeight="1">
      <c r="E57" t="s">
        <v>127</v>
      </c>
      <c r="J57">
        <v>1</v>
      </c>
      <c r="Q57">
        <v>1</v>
      </c>
      <c r="W57">
        <v>2</v>
      </c>
      <c r="X57">
        <v>1.5</v>
      </c>
      <c r="Z57">
        <v>2</v>
      </c>
      <c r="AC57">
        <v>0.5</v>
      </c>
      <c r="AD57">
        <v>0.5</v>
      </c>
      <c r="AE57">
        <v>0.5</v>
      </c>
      <c r="AF57">
        <v>2</v>
      </c>
      <c r="AK57">
        <v>11</v>
      </c>
      <c r="AL57" t="s">
        <v>127</v>
      </c>
      <c r="AM57" t="s">
        <v>99</v>
      </c>
      <c r="AN57" t="s">
        <v>135</v>
      </c>
    </row>
    <row r="58" spans="1:48" ht="15.75" customHeight="1">
      <c r="E58" t="s">
        <v>85</v>
      </c>
      <c r="Q58">
        <v>0.5</v>
      </c>
      <c r="S58">
        <v>1</v>
      </c>
      <c r="AK58">
        <v>1.5</v>
      </c>
      <c r="AL58" t="s">
        <v>85</v>
      </c>
      <c r="AM58" t="s">
        <v>99</v>
      </c>
      <c r="AN58" t="s">
        <v>129</v>
      </c>
    </row>
    <row r="59" spans="1:48" ht="15.75" customHeight="1">
      <c r="E59" t="s">
        <v>70</v>
      </c>
      <c r="Q59">
        <v>0.5</v>
      </c>
      <c r="AK59">
        <v>0.5</v>
      </c>
      <c r="AL59" t="s">
        <v>70</v>
      </c>
      <c r="AM59" t="s">
        <v>99</v>
      </c>
      <c r="AN59" t="s">
        <v>124</v>
      </c>
    </row>
    <row r="60" spans="1:48" ht="15.75" customHeight="1">
      <c r="E60" t="s">
        <v>91</v>
      </c>
      <c r="P60">
        <v>0.5</v>
      </c>
      <c r="R60">
        <v>7</v>
      </c>
      <c r="S60">
        <v>6</v>
      </c>
      <c r="W60">
        <v>4</v>
      </c>
      <c r="AK60">
        <v>17.5</v>
      </c>
      <c r="AL60" t="s">
        <v>91</v>
      </c>
      <c r="AM60" t="s">
        <v>99</v>
      </c>
      <c r="AN60" t="s">
        <v>130</v>
      </c>
    </row>
    <row r="61" spans="1:48" ht="15.75" customHeight="1">
      <c r="E61" t="s">
        <v>59</v>
      </c>
      <c r="P61">
        <v>3.5</v>
      </c>
      <c r="X61">
        <v>2.5</v>
      </c>
      <c r="AK61">
        <v>6</v>
      </c>
      <c r="AL61" t="s">
        <v>59</v>
      </c>
      <c r="AM61" t="s">
        <v>99</v>
      </c>
      <c r="AN61" t="s">
        <v>131</v>
      </c>
    </row>
    <row r="62" spans="1:48" ht="15.75" customHeight="1">
      <c r="E62" t="s">
        <v>54</v>
      </c>
      <c r="K62">
        <v>3</v>
      </c>
      <c r="L62">
        <v>3</v>
      </c>
      <c r="AC62">
        <v>0.5</v>
      </c>
      <c r="AE62">
        <v>1</v>
      </c>
      <c r="AF62">
        <v>1</v>
      </c>
      <c r="AK62">
        <v>8.5</v>
      </c>
      <c r="AL62" t="s">
        <v>54</v>
      </c>
      <c r="AM62" t="s">
        <v>99</v>
      </c>
      <c r="AN62" t="s">
        <v>141</v>
      </c>
    </row>
    <row r="63" spans="1:48" ht="15.75" customHeight="1">
      <c r="E63" t="s">
        <v>53</v>
      </c>
      <c r="J63">
        <v>0.5</v>
      </c>
      <c r="AK63">
        <v>0.5</v>
      </c>
      <c r="AL63" t="s">
        <v>53</v>
      </c>
      <c r="AM63" t="s">
        <v>99</v>
      </c>
      <c r="AN63" t="s">
        <v>119</v>
      </c>
    </row>
    <row r="64" spans="1:48" ht="15.75" customHeight="1">
      <c r="E64" t="s">
        <v>58</v>
      </c>
      <c r="L64">
        <v>0.5</v>
      </c>
      <c r="X64">
        <v>0.5</v>
      </c>
      <c r="Y64">
        <v>0.5</v>
      </c>
      <c r="AF64">
        <v>2</v>
      </c>
      <c r="AG64">
        <v>6</v>
      </c>
      <c r="AK64">
        <v>9.5</v>
      </c>
      <c r="AL64" t="s">
        <v>58</v>
      </c>
      <c r="AM64" t="s">
        <v>99</v>
      </c>
      <c r="AN64" t="s">
        <v>142</v>
      </c>
    </row>
    <row r="65" spans="1:40" ht="15.75" customHeight="1">
      <c r="E65" t="s">
        <v>65</v>
      </c>
      <c r="J65">
        <v>0.5</v>
      </c>
      <c r="AK65">
        <v>0.5</v>
      </c>
      <c r="AL65" t="s">
        <v>65</v>
      </c>
      <c r="AM65" t="s">
        <v>99</v>
      </c>
      <c r="AN65" t="s">
        <v>118</v>
      </c>
    </row>
    <row r="66" spans="1:40" ht="15.75" customHeight="1">
      <c r="E66" t="s">
        <v>63</v>
      </c>
      <c r="K66">
        <v>1</v>
      </c>
      <c r="AK66">
        <v>1</v>
      </c>
      <c r="AL66" t="s">
        <v>63</v>
      </c>
      <c r="AM66" t="s">
        <v>99</v>
      </c>
      <c r="AN66" t="s">
        <v>120</v>
      </c>
    </row>
    <row r="67" spans="1:40" ht="15.75" customHeight="1">
      <c r="E67" t="s">
        <v>56</v>
      </c>
      <c r="J67">
        <v>1</v>
      </c>
      <c r="K67">
        <v>1</v>
      </c>
      <c r="L67">
        <v>2</v>
      </c>
      <c r="AK67">
        <v>4</v>
      </c>
      <c r="AL67" t="s">
        <v>56</v>
      </c>
      <c r="AM67" t="s">
        <v>99</v>
      </c>
      <c r="AN67" t="s">
        <v>121</v>
      </c>
    </row>
    <row r="68" spans="1:40" ht="15.75" customHeight="1">
      <c r="E68" t="s">
        <v>57</v>
      </c>
      <c r="O68">
        <v>3</v>
      </c>
      <c r="P68">
        <v>2.5</v>
      </c>
      <c r="Y68">
        <v>2.5</v>
      </c>
      <c r="Z68">
        <v>0.5</v>
      </c>
      <c r="AD68">
        <v>0.5</v>
      </c>
      <c r="AK68">
        <v>9</v>
      </c>
      <c r="AL68" t="s">
        <v>57</v>
      </c>
      <c r="AM68" t="s">
        <v>99</v>
      </c>
      <c r="AN68" t="s">
        <v>134</v>
      </c>
    </row>
    <row r="69" spans="1:40" ht="15.75" customHeight="1">
      <c r="E69" t="s">
        <v>52</v>
      </c>
      <c r="I69">
        <v>0.5</v>
      </c>
      <c r="J69">
        <v>0.5</v>
      </c>
      <c r="K69">
        <v>1</v>
      </c>
      <c r="Q69">
        <v>0.5</v>
      </c>
      <c r="AK69">
        <v>2.5</v>
      </c>
      <c r="AL69" t="s">
        <v>52</v>
      </c>
      <c r="AM69" t="s">
        <v>99</v>
      </c>
      <c r="AN69" t="s">
        <v>126</v>
      </c>
    </row>
    <row r="70" spans="1:40" ht="15.75" customHeight="1">
      <c r="E70" t="s">
        <v>79</v>
      </c>
      <c r="I70">
        <v>2.5</v>
      </c>
      <c r="J70">
        <v>2.5</v>
      </c>
      <c r="L70">
        <v>0.5</v>
      </c>
      <c r="O70">
        <v>1.5</v>
      </c>
      <c r="P70">
        <v>0.5</v>
      </c>
      <c r="Q70">
        <v>2</v>
      </c>
      <c r="W70">
        <v>1</v>
      </c>
      <c r="Y70">
        <v>2</v>
      </c>
      <c r="AC70">
        <v>1</v>
      </c>
      <c r="AF70">
        <v>0.5</v>
      </c>
      <c r="AK70">
        <v>14</v>
      </c>
      <c r="AL70" t="s">
        <v>79</v>
      </c>
      <c r="AM70" t="s">
        <v>99</v>
      </c>
      <c r="AN70" t="s">
        <v>138</v>
      </c>
    </row>
    <row r="71" spans="1:40" ht="15.75" customHeight="1">
      <c r="E71" t="s">
        <v>96</v>
      </c>
      <c r="I71">
        <v>1</v>
      </c>
      <c r="J71">
        <v>1.5</v>
      </c>
      <c r="K71">
        <v>0.5</v>
      </c>
      <c r="L71">
        <v>2</v>
      </c>
      <c r="O71">
        <v>2</v>
      </c>
      <c r="X71">
        <v>0.5</v>
      </c>
      <c r="AF71">
        <v>1</v>
      </c>
      <c r="AK71">
        <v>8.5</v>
      </c>
      <c r="AL71" t="s">
        <v>96</v>
      </c>
      <c r="AM71" t="s">
        <v>99</v>
      </c>
      <c r="AN71" t="s">
        <v>137</v>
      </c>
    </row>
    <row r="72" spans="1:40" ht="15.75" customHeight="1">
      <c r="E72" t="s">
        <v>74</v>
      </c>
      <c r="I72">
        <v>0</v>
      </c>
      <c r="Q72">
        <v>0.5</v>
      </c>
      <c r="AK72">
        <v>0.5</v>
      </c>
      <c r="AL72" t="s">
        <v>74</v>
      </c>
      <c r="AM72" t="s">
        <v>99</v>
      </c>
      <c r="AN72" t="s">
        <v>125</v>
      </c>
    </row>
    <row r="73" spans="1:40" ht="15.75" customHeight="1">
      <c r="E73" t="s">
        <v>60</v>
      </c>
      <c r="I73">
        <v>0.5</v>
      </c>
      <c r="K73">
        <v>0.5</v>
      </c>
      <c r="Q73">
        <v>1.5</v>
      </c>
      <c r="X73">
        <v>2</v>
      </c>
      <c r="Z73">
        <v>3</v>
      </c>
      <c r="AC73">
        <v>3</v>
      </c>
      <c r="AD73">
        <v>5</v>
      </c>
      <c r="AE73">
        <v>3</v>
      </c>
      <c r="AF73">
        <v>1</v>
      </c>
      <c r="AK73">
        <v>19.5</v>
      </c>
      <c r="AL73" t="s">
        <v>60</v>
      </c>
      <c r="AM73" t="s">
        <v>99</v>
      </c>
      <c r="AN73" t="s">
        <v>139</v>
      </c>
    </row>
    <row r="74" spans="1:40" ht="15.75" customHeight="1">
      <c r="E74" t="s">
        <v>83</v>
      </c>
      <c r="H74">
        <v>8</v>
      </c>
      <c r="V74">
        <v>8</v>
      </c>
      <c r="AK74">
        <v>16</v>
      </c>
      <c r="AL74" t="s">
        <v>83</v>
      </c>
      <c r="AM74" t="s">
        <v>99</v>
      </c>
      <c r="AN74" t="s">
        <v>123</v>
      </c>
    </row>
    <row r="75" spans="1:40" ht="15.75" customHeight="1">
      <c r="E75" t="s">
        <v>50</v>
      </c>
      <c r="I75">
        <v>3</v>
      </c>
      <c r="J75">
        <v>0</v>
      </c>
      <c r="K75">
        <v>1.5</v>
      </c>
      <c r="O75">
        <v>1.5</v>
      </c>
      <c r="P75">
        <v>1</v>
      </c>
      <c r="Q75">
        <v>1.5</v>
      </c>
      <c r="R75">
        <v>0.5</v>
      </c>
      <c r="W75">
        <v>1</v>
      </c>
      <c r="X75">
        <v>0.5</v>
      </c>
      <c r="Y75">
        <v>1</v>
      </c>
      <c r="Z75">
        <v>0.5</v>
      </c>
      <c r="AC75">
        <v>1.5</v>
      </c>
      <c r="AD75">
        <v>0.5</v>
      </c>
      <c r="AE75">
        <v>1</v>
      </c>
      <c r="AG75">
        <v>1</v>
      </c>
      <c r="AK75">
        <v>16</v>
      </c>
      <c r="AL75" t="s">
        <v>50</v>
      </c>
      <c r="AM75" t="s">
        <v>99</v>
      </c>
      <c r="AN75" t="s">
        <v>144</v>
      </c>
    </row>
    <row r="76" spans="1:40" ht="15.75" customHeight="1">
      <c r="A76" t="s">
        <v>48</v>
      </c>
      <c r="E76" t="s">
        <v>37</v>
      </c>
      <c r="F76">
        <v>0</v>
      </c>
      <c r="G76">
        <v>0</v>
      </c>
      <c r="H76">
        <v>8</v>
      </c>
      <c r="I76">
        <v>8</v>
      </c>
      <c r="J76">
        <v>8.5</v>
      </c>
      <c r="K76">
        <v>8.5</v>
      </c>
      <c r="L76">
        <v>8</v>
      </c>
      <c r="M76">
        <v>0</v>
      </c>
      <c r="N76">
        <v>0</v>
      </c>
      <c r="O76">
        <v>8</v>
      </c>
      <c r="P76">
        <v>8</v>
      </c>
      <c r="Q76">
        <v>8</v>
      </c>
      <c r="R76">
        <v>8</v>
      </c>
      <c r="S76">
        <v>7</v>
      </c>
      <c r="T76">
        <v>0</v>
      </c>
      <c r="U76">
        <v>0</v>
      </c>
      <c r="V76">
        <v>8</v>
      </c>
      <c r="W76">
        <v>8</v>
      </c>
      <c r="X76">
        <v>7.5</v>
      </c>
      <c r="Y76">
        <v>8</v>
      </c>
      <c r="Z76">
        <v>8</v>
      </c>
      <c r="AA76">
        <v>0</v>
      </c>
      <c r="AB76">
        <v>0</v>
      </c>
      <c r="AC76">
        <v>8</v>
      </c>
      <c r="AD76">
        <v>8.5</v>
      </c>
      <c r="AE76">
        <v>8</v>
      </c>
      <c r="AF76">
        <v>8</v>
      </c>
      <c r="AG76">
        <v>8</v>
      </c>
      <c r="AH76">
        <v>0</v>
      </c>
      <c r="AI76">
        <v>0</v>
      </c>
      <c r="AJ76">
        <v>0</v>
      </c>
      <c r="AK76">
        <v>160</v>
      </c>
    </row>
    <row r="77" spans="1:40" ht="15.75" customHeight="1">
      <c r="A77" t="s">
        <v>48</v>
      </c>
      <c r="E77"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5" t="s">
        <v>50</v>
      </c>
    </row>
    <row r="2" spans="1:1">
      <c r="A2" s="55" t="s">
        <v>127</v>
      </c>
    </row>
    <row r="3" spans="1:1">
      <c r="A3" s="55" t="s">
        <v>51</v>
      </c>
    </row>
    <row r="4" spans="1:1">
      <c r="A4" s="55" t="s">
        <v>85</v>
      </c>
    </row>
    <row r="5" spans="1:1">
      <c r="A5" s="55" t="s">
        <v>86</v>
      </c>
    </row>
    <row r="6" spans="1:1">
      <c r="A6" s="55" t="s">
        <v>87</v>
      </c>
    </row>
    <row r="7" spans="1:1">
      <c r="A7" s="55" t="s">
        <v>52</v>
      </c>
    </row>
    <row r="8" spans="1:1">
      <c r="A8" s="55" t="s">
        <v>53</v>
      </c>
    </row>
    <row r="9" spans="1:1">
      <c r="A9" s="55" t="s">
        <v>54</v>
      </c>
    </row>
    <row r="10" spans="1:1">
      <c r="A10" s="55" t="s">
        <v>55</v>
      </c>
    </row>
    <row r="11" spans="1:1">
      <c r="A11" s="55" t="s">
        <v>56</v>
      </c>
    </row>
    <row r="12" spans="1:1">
      <c r="A12" s="55" t="s">
        <v>57</v>
      </c>
    </row>
    <row r="13" spans="1:1">
      <c r="A13" s="55" t="s">
        <v>58</v>
      </c>
    </row>
    <row r="14" spans="1:1">
      <c r="A14" s="55" t="s">
        <v>59</v>
      </c>
    </row>
    <row r="15" spans="1:1">
      <c r="A15" s="55" t="s">
        <v>60</v>
      </c>
    </row>
    <row r="16" spans="1:1">
      <c r="A16" s="55" t="s">
        <v>61</v>
      </c>
    </row>
    <row r="17" spans="1:1">
      <c r="A17" s="55" t="s">
        <v>62</v>
      </c>
    </row>
    <row r="18" spans="1:1">
      <c r="A18" s="55" t="s">
        <v>63</v>
      </c>
    </row>
    <row r="19" spans="1:1">
      <c r="A19" s="55" t="s">
        <v>64</v>
      </c>
    </row>
    <row r="20" spans="1:1">
      <c r="A20" s="55" t="s">
        <v>65</v>
      </c>
    </row>
    <row r="21" spans="1:1">
      <c r="A21" s="55" t="s">
        <v>66</v>
      </c>
    </row>
    <row r="22" spans="1:1">
      <c r="A22" s="55" t="s">
        <v>67</v>
      </c>
    </row>
    <row r="23" spans="1:1">
      <c r="A23" s="55" t="s">
        <v>68</v>
      </c>
    </row>
    <row r="24" spans="1:1">
      <c r="A24" s="55" t="s">
        <v>69</v>
      </c>
    </row>
    <row r="25" spans="1:1">
      <c r="A25" s="55" t="s">
        <v>70</v>
      </c>
    </row>
    <row r="26" spans="1:1">
      <c r="A26" s="55" t="s">
        <v>71</v>
      </c>
    </row>
    <row r="27" spans="1:1">
      <c r="A27" s="55" t="s">
        <v>72</v>
      </c>
    </row>
    <row r="28" spans="1:1">
      <c r="A28" s="55" t="s">
        <v>73</v>
      </c>
    </row>
    <row r="29" spans="1:1">
      <c r="A29" s="55" t="s">
        <v>95</v>
      </c>
    </row>
    <row r="30" spans="1:1">
      <c r="A30" s="55" t="s">
        <v>88</v>
      </c>
    </row>
    <row r="31" spans="1:1">
      <c r="A31" s="55" t="s">
        <v>74</v>
      </c>
    </row>
    <row r="32" spans="1:1">
      <c r="A32" s="55" t="s">
        <v>98</v>
      </c>
    </row>
    <row r="33" spans="1:1">
      <c r="A33" s="55" t="s">
        <v>91</v>
      </c>
    </row>
    <row r="34" spans="1:1">
      <c r="A34" s="55" t="s">
        <v>75</v>
      </c>
    </row>
    <row r="35" spans="1:1">
      <c r="A35" s="55" t="s">
        <v>76</v>
      </c>
    </row>
    <row r="36" spans="1:1">
      <c r="A36" s="55" t="s">
        <v>93</v>
      </c>
    </row>
    <row r="37" spans="1:1">
      <c r="A37" s="55" t="s">
        <v>84</v>
      </c>
    </row>
    <row r="38" spans="1:1">
      <c r="A38" s="55" t="s">
        <v>77</v>
      </c>
    </row>
    <row r="39" spans="1:1">
      <c r="A39" s="55" t="s">
        <v>78</v>
      </c>
    </row>
    <row r="40" spans="1:1">
      <c r="A40" s="55" t="s">
        <v>79</v>
      </c>
    </row>
    <row r="41" spans="1:1">
      <c r="A41" s="55" t="s">
        <v>80</v>
      </c>
    </row>
    <row r="42" spans="1:1">
      <c r="A42" s="55" t="s">
        <v>81</v>
      </c>
    </row>
    <row r="43" spans="1:1">
      <c r="A43" s="55" t="s">
        <v>92</v>
      </c>
    </row>
    <row r="44" spans="1:1">
      <c r="A44" s="55" t="s">
        <v>97</v>
      </c>
    </row>
    <row r="45" spans="1:1">
      <c r="A45" s="55" t="s">
        <v>96</v>
      </c>
    </row>
    <row r="46" spans="1:1">
      <c r="A46" s="55" t="s">
        <v>82</v>
      </c>
    </row>
    <row r="47" spans="1:1">
      <c r="A47" s="55" t="s">
        <v>83</v>
      </c>
    </row>
    <row r="48" spans="1:1">
      <c r="A48" s="55"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Berube, Dawn M</DisplayName>
        <AccountId>21</AccountId>
        <AccountType/>
      </UserInfo>
    </SharedWithUsers>
  </documentManagement>
</p:properties>
</file>

<file path=customXml/itemProps1.xml><?xml version="1.0" encoding="utf-8"?>
<ds:datastoreItem xmlns:ds="http://schemas.openxmlformats.org/officeDocument/2006/customXml" ds:itemID="{7A7C7CB0-521D-4CDB-8908-1115F2CA50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05F48D-3B54-4496-9C6C-86CB2B913310}">
  <ds:schemaRefs>
    <ds:schemaRef ds:uri="http://schemas.microsoft.com/sharepoint/v3/contenttype/forms"/>
  </ds:schemaRefs>
</ds:datastoreItem>
</file>

<file path=customXml/itemProps3.xml><?xml version="1.0" encoding="utf-8"?>
<ds:datastoreItem xmlns:ds="http://schemas.openxmlformats.org/officeDocument/2006/customXml" ds:itemID="{55BBEC58-71C6-4660-95ED-34520A8BA025}">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1ef09ff2-2e9d-4a2c-946b-e898d1cc0ee0"/>
    <ds:schemaRef ds:uri="fc47652f-73a8-48ef-be6c-b836aab274c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Berube, Dawn M</cp:lastModifiedBy>
  <dcterms:created xsi:type="dcterms:W3CDTF">2019-07-09T14:54:24Z</dcterms:created>
  <dcterms:modified xsi:type="dcterms:W3CDTF">2020-03-02T21:17:50Z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