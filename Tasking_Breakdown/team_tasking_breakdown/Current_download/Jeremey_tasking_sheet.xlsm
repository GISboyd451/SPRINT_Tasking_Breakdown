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418" documentId="13_ncr:1_{5EDB25DA-953C-4EFE-B793-3969310FA0BA}" xr6:coauthVersionLast="45" xr6:coauthVersionMax="45" xr10:uidLastSave="{9A2831CA-BC1C-4590-BCF8-E57E577E9C0B}"/>
  <bookViews>
    <workbookView xWindow="-108" yWindow="-108" windowWidth="23256" windowHeight="12576" xr2:uid="{00000000-000D-0000-FFFF-FFFF00000000}"/>
  </bookViews>
  <sheets>
    <sheet name="TaskingSheet" sheetId="1" r:id="rId1"/>
    <sheet name="Archive" sheetId="2" r:id="rId2"/>
    <sheet name="Sheet3" sheetId="3" state="hidden"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8" i="1" l="1"/>
  <c r="AK8" i="1"/>
  <c r="AL9" i="1" l="1"/>
  <c r="AK9" i="1"/>
  <c r="AL10" i="1"/>
  <c r="AK10" i="1"/>
  <c r="AL11" i="1"/>
  <c r="AK11" i="1"/>
  <c r="B2" i="1" l="1" a="1"/>
  <c r="B2" i="1" s="1"/>
  <c r="AO7" i="1" a="1"/>
  <c r="AO7" i="1" s="1"/>
  <c r="AP7" i="1"/>
  <c r="B3" i="1" l="1"/>
  <c r="D7" i="1" l="1"/>
  <c r="AQ7" i="1" l="1" a="1"/>
  <c r="AQ7" i="1" s="1"/>
  <c r="AL7" i="1"/>
  <c r="AK7" i="1"/>
  <c r="A7" i="1"/>
  <c r="F6" i="1" a="1"/>
  <c r="AG6" i="1" s="1"/>
  <c r="F5" i="1" a="1"/>
  <c r="AG5" i="1" s="1"/>
  <c r="F4" i="1" a="1"/>
  <c r="AH4" i="1" s="1"/>
  <c r="B4" i="1" a="1"/>
  <c r="B4" i="1" s="1"/>
  <c r="V12" i="1"/>
  <c r="AK12" i="1"/>
  <c r="Y12" i="1"/>
  <c r="L12" i="1"/>
  <c r="AB12" i="1"/>
  <c r="AI12" i="1"/>
  <c r="AE12" i="1"/>
  <c r="F12" i="1"/>
  <c r="O12" i="1"/>
  <c r="S12" i="1"/>
  <c r="AG12" i="1"/>
  <c r="W12" i="1"/>
  <c r="AC12" i="1"/>
  <c r="U12" i="1"/>
  <c r="N12" i="1"/>
  <c r="AF12" i="1"/>
  <c r="H12" i="1"/>
  <c r="K12" i="1"/>
  <c r="G12" i="1"/>
  <c r="AJ12" i="1"/>
  <c r="X12" i="1"/>
  <c r="J12" i="1"/>
  <c r="M12" i="1"/>
  <c r="R12" i="1"/>
  <c r="AD12" i="1"/>
  <c r="T12" i="1"/>
  <c r="AH12" i="1"/>
  <c r="Q12" i="1"/>
  <c r="AA12" i="1"/>
  <c r="Z12" i="1"/>
  <c r="P12" i="1"/>
  <c r="I12" i="1"/>
  <c r="D5" i="1" l="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AU7" i="1" l="1"/>
  <c r="AT7" i="1"/>
  <c r="D2" i="1"/>
  <c r="D3" i="1"/>
  <c r="AJ1" i="1"/>
  <c r="AH1" i="1"/>
  <c r="AI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<sst xmlns="http://schemas.openxmlformats.org/spreadsheetml/2006/main" count="234" uniqueCount="109">
  <si>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</si>
  <si>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</si>
  <si>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</si>
  <si>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</si>
  <si>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</si>
  <si>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</si>
  <si>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</si>
  <si>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</si>
  <si>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</si>
  <si>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</si>
  <si>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</si>
  <si>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</si>
  <si>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</si>
  <si>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</si>
  <si>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</si>
  <si>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</si>
  <si>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</si>
  <si>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</si>
  <si>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</si>
  <si>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</si>
  <si>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</si>
  <si>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</si>
  <si>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</si>
  <si>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</si>
  <si>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</si>
  <si>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</si>
  <si>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</si>
  <si>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</si>
  <si>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</si>
  <si>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</si>
  <si>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</si>
  <si>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</si>
  <si>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</si>
  <si>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</si>
  <si>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</si>
  <si>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</si>
  <si>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</si>
  <si>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</si>
  <si>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</si>
  <si>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</si>
  <si>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</si>
  <si>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</si>
  <si>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</si>
  <si>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</si>
  <si>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</si>
  <si>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</si>
  <si>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</si>
  <si>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</si>
  <si>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</si>
  <si>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</si>
  <si>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</si>
  <si>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</si>
  <si>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</si>
  <si>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</si>
  <si>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</si>
  <si>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</si>
  <si>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</si>
  <si>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</si>
  <si>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</si>
  <si>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</si>
  <si>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</si>
  <si>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</si>
  <si>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</si>
  <si>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</si>
  <si>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</si>
  <si>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</si>
  <si>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</si>
  <si>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</si>
  <si>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</si>
  <si>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</si>
  <si>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</si>
  <si>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</si>
  <si>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</si>
  <si>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</si>
  <si>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</si>
  <si>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</si>
  <si>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</si>
  <si>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</si>
  <si>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</si>
  <si>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</si>
  <si>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</si>
  <si>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</si>
  <si>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</si>
  <si>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</si>
  <si>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</si>
  <si>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</si>
  <si>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</si>
  <si>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</si>
  <si>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</si>
  <si>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</si>
  <si>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</si>
  <si>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</si>
  <si>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</si>
  <si>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</si>
  <si>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January</t>
  </si>
  <si>
    <t>Tasking Breakdown</t>
  </si>
  <si>
    <t>Metadata</t>
  </si>
  <si>
    <t>Testing/Workflow</t>
  </si>
  <si>
    <t>STATE Land Disposal</t>
  </si>
  <si>
    <t>Jeremey_Goodell</t>
  </si>
  <si>
    <t>SMA FME KMZ generation</t>
  </si>
  <si>
    <t>PLSS Derivation script update</t>
  </si>
  <si>
    <t>January_2020</t>
  </si>
  <si>
    <t>February</t>
  </si>
  <si>
    <t>NOC Meetings</t>
  </si>
  <si>
    <t>GIS Brown Bag</t>
  </si>
  <si>
    <t>LHA Crosswalk for WRFO</t>
  </si>
  <si>
    <t>February_2020</t>
  </si>
  <si>
    <t>March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</si>
</sst>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0">
    <font>
      <sz val="10"/>
      <color rgb="FF000000"/>
      <name val="Arial"/>
    </font>
    <font>
      <sz val="10"/>
      <name val="Arial"/>
    </font>
    <font>
      <b/>
      <sz val="12"/>
      <name val="Arial"/>
    </font>
    <font>
      <b/>
      <sz val="10"/>
      <name val="Arial"/>
    </font>
    <font>
      <sz val="11"/>
      <color rgb="FF000000"/>
      <name val="Inconsolata"/>
    </font>
    <font>
      <b/>
      <sz val="11"/>
      <color rgb="FF000000"/>
      <name val="Calibri"/>
    </font>
    <font>
      <sz val="11"/>
      <color rgb="FF000000"/>
      <name val="Calibri"/>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67">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64" fontId="9" fillId="0" borderId="6" xfId="0" applyNumberFormat="1" applyFont="1" applyBorder="1" applyAlignment="1"/>
    <xf numFmtId="164" fontId="1" fillId="3" borderId="6" xfId="0" applyNumberFormat="1" applyFont="1" applyFill="1" applyBorder="1" applyAlignment="1">
      <alignment horizontal="right"/>
    </xf>
    <xf numFmtId="164" fontId="1" fillId="3" borderId="0" xfId="0" applyNumberFormat="1" applyFont="1" applyFill="1" applyAlignment="1"/>
    <xf numFmtId="1" fontId="1" fillId="0" borderId="0" xfId="0" applyNumberFormat="1" applyFont="1" applyBorder="1" applyAlignment="1">
      <alignment horizontal="right"/>
    </xf>
    <xf numFmtId="164" fontId="1" fillId="0" borderId="0" xfId="0" applyNumberFormat="1" applyFont="1" applyBorder="1" applyAlignment="1"/>
    <xf numFmtId="164" fontId="6" fillId="0" borderId="4" xfId="0" applyNumberFormat="1" applyFont="1" applyBorder="1" applyAlignment="1"/>
    <xf numFmtId="166" fontId="1" fillId="5" borderId="0" xfId="0" applyNumberFormat="1" applyFont="1" applyFill="1" applyBorder="1" applyAlignment="1"/>
    <xf numFmtId="0" fontId="1" fillId="0" borderId="0" xfId="0" applyFont="1" applyFill="1" applyBorder="1" applyAlignment="1">
      <alignment horizontal="right"/>
    </xf>
    <xf numFmtId="0" fontId="1" fillId="0" borderId="0" xfId="0" applyFont="1" applyFill="1" applyBorder="1" applyAlignment="1"/>
    <xf numFmtId="0" fontId="4" fillId="0" borderId="0" xfId="0" applyFont="1" applyFill="1" applyBorder="1" applyAlignment="1">
      <alignment horizontal="right"/>
    </xf>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4</xdr:row>
          <xdr:rowOff>7620</xdr:rowOff>
        </xdr:from>
        <xdr:to>
          <xdr:col>4</xdr:col>
          <xdr:colOff>1264920</xdr:colOff>
          <xdr:row>4</xdr:row>
          <xdr:rowOff>365760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7620</xdr:rowOff>
        </xdr:from>
        <xdr:to>
          <xdr:col>39</xdr:col>
          <xdr:colOff>228600</xdr:colOff>
          <xdr:row>3</xdr:row>
          <xdr:rowOff>175260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7620</xdr:colOff>
          <xdr:row>2</xdr:row>
          <xdr:rowOff>7620</xdr:rowOff>
        </xdr:from>
        <xdr:to>
          <xdr:col>46</xdr:col>
          <xdr:colOff>190500</xdr:colOff>
          <xdr:row>3</xdr:row>
          <xdr:rowOff>182880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94"/>
  <sheetViews>
    <sheetView tabSelected="1" workbookViewId="0">
      <selection activeCell="H9" sqref="H9"/>
    </sheetView>
  </sheetViews>
  <sheetFormatPr defaultColWidth="0" defaultRowHeight="15.75" customHeight="1" zeroHeight="1"/>
  <cols>
    <col min="1" max="2" width="14.44140625" customWidth="1"/>
    <col min="3" max="3" width="20.5546875" bestFit="1" customWidth="1"/>
    <col min="4" max="4" width="14.44140625" customWidth="1"/>
    <col min="5" max="5" width="19.33203125" bestFit="1" customWidth="1"/>
    <col min="6" max="33" width="3.33203125" customWidth="1"/>
    <col min="34" max="34" width="3.5546875" customWidth="1"/>
    <col min="35" max="36" width="3.33203125" customWidth="1"/>
    <col min="37" max="38" width="14.44140625" customWidth="1"/>
    <col min="39" max="39" width="15.109375" customWidth="1"/>
    <col min="40" max="43" width="14.44140625" customWidth="1"/>
    <col min="44" max="44" width="14.44140625" hidden="1" customWidth="1"/>
    <col min="45" max="47" width="14.44140625" customWidth="1"/>
    <col min="48" max="48" width="23.33203125" hidden="1" customWidth="1"/>
    <col min="49" max="49" width="14.44140625" customWidth="1"/>
    <col min="50" max="16384" width="14.44140625" hidden="1"/>
  </cols>
  <sheetData>
    <row r="1" spans="1:48" ht="15.75" customHeight="1">
      <c r="A1" s="1" t="str">
        <f>D7</f>
        <v>March_2020</v>
      </c>
      <c r="B1" s="2"/>
      <c r="C1" s="2"/>
      <c r="D1" s="2"/>
      <c r="E1" s="55"/>
      <c r="F1" s="3"/>
      <c r="G1" s="3"/>
      <c r="H1" s="3"/>
      <c r="I1" s="3"/>
      <c r="J1" s="3"/>
      <c r="K1" s="3"/>
      <c r="L1" s="3"/>
      <c r="M1" s="3"/>
      <c r="N1" s="3"/>
      <c r="O1" s="3"/>
      <c r="P1" s="3"/>
      <c r="Q1" s="3"/>
      <c r="R1" s="3"/>
      <c r="S1" s="3"/>
      <c r="T1" s="3"/>
      <c r="U1" s="3"/>
      <c r="V1" s="3"/>
      <c r="W1" s="3"/>
      <c r="X1" s="3"/>
      <c r="Y1" s="3"/>
      <c r="Z1" s="3"/>
      <c r="AA1" s="3"/>
      <c r="AB1" s="3"/>
      <c r="AC1" s="3"/>
      <c r="AD1" s="3"/>
      <c r="AE1" s="3"/>
      <c r="AF1" s="3"/>
      <c r="AG1" s="3"/>
      <c r="AH1" s="43" t="b">
        <f>MONTH(F6)=MONTH(AH6)</f>
        <v>1</v>
      </c>
      <c r="AI1" s="43" t="b">
        <f>MONTH(G6)=MONTH(AI6)</f>
        <v>1</v>
      </c>
      <c r="AJ1" s="43" t="b">
        <f>MONTH(H6)=MONTH(AJ6)</f>
        <v>1</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1.5</v>
      </c>
      <c r="C2" s="11" t="s">
        <v>45</v>
      </c>
      <c r="D2" s="12">
        <f>IFERROR(B2/D5,"")</f>
        <v>0.15789473684210525</v>
      </c>
      <c r="E2" s="55"/>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8</v>
      </c>
      <c r="C3" s="11" t="s">
        <v>46</v>
      </c>
      <c r="D3" s="12">
        <f>IFERROR(B3/D5,"")</f>
        <v>0.84210526315789469</v>
      </c>
      <c r="E3" s="55"/>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0</v>
      </c>
      <c r="C4" s="13"/>
      <c r="D4" s="12"/>
      <c r="E4" s="54"/>
      <c r="F4" s="14">
        <f t="array" ref="F4:AJ4">TRANSPOSE(DATE($B$7,MONTH(C7&amp;1),1)+TRANSPOSE(COLUMN($C$1:$AN$1)-3))</f>
        <v>43891</v>
      </c>
      <c r="G4" s="14">
        <v>43892</v>
      </c>
      <c r="H4" s="14">
        <v>43893</v>
      </c>
      <c r="I4" s="14">
        <v>43894</v>
      </c>
      <c r="J4" s="14">
        <v>43895</v>
      </c>
      <c r="K4" s="14">
        <v>43896</v>
      </c>
      <c r="L4" s="14">
        <v>43897</v>
      </c>
      <c r="M4" s="14">
        <v>43898</v>
      </c>
      <c r="N4" s="14">
        <v>43899</v>
      </c>
      <c r="O4" s="14">
        <v>43900</v>
      </c>
      <c r="P4" s="14">
        <v>43901</v>
      </c>
      <c r="Q4" s="14">
        <v>43902</v>
      </c>
      <c r="R4" s="14">
        <v>43903</v>
      </c>
      <c r="S4" s="14">
        <v>43904</v>
      </c>
      <c r="T4" s="14">
        <v>43905</v>
      </c>
      <c r="U4" s="14">
        <v>43906</v>
      </c>
      <c r="V4" s="14">
        <v>43907</v>
      </c>
      <c r="W4" s="14">
        <v>43908</v>
      </c>
      <c r="X4" s="14">
        <v>43909</v>
      </c>
      <c r="Y4" s="14">
        <v>43910</v>
      </c>
      <c r="Z4" s="14">
        <v>43911</v>
      </c>
      <c r="AA4" s="14">
        <v>43912</v>
      </c>
      <c r="AB4" s="14">
        <v>43913</v>
      </c>
      <c r="AC4" s="14">
        <v>43914</v>
      </c>
      <c r="AD4" s="14">
        <v>43915</v>
      </c>
      <c r="AE4" s="14">
        <v>43916</v>
      </c>
      <c r="AF4" s="14">
        <v>43917</v>
      </c>
      <c r="AG4" s="14">
        <v>43918</v>
      </c>
      <c r="AH4" s="14">
        <v>43919</v>
      </c>
      <c r="AI4" s="14">
        <v>43920</v>
      </c>
      <c r="AJ4" s="14">
        <v>43921</v>
      </c>
      <c r="AK4" s="15"/>
      <c r="AL4" s="5"/>
      <c r="AM4" s="3"/>
      <c r="AN4" s="3"/>
      <c r="AO4" s="3"/>
      <c r="AP4" s="3"/>
      <c r="AQ4" s="3"/>
      <c r="AR4" s="3"/>
      <c r="AS4" s="3"/>
      <c r="AT4" s="3"/>
      <c r="AU4" s="3"/>
      <c r="AV4" s="6"/>
    </row>
    <row r="5" spans="1:48" ht="30" customHeight="1">
      <c r="A5" s="16" t="s">
        <v>44</v>
      </c>
      <c r="B5" s="17">
        <f ca="1">AK12</f>
        <v>9.5</v>
      </c>
      <c r="C5" s="49" t="s">
        <v>90</v>
      </c>
      <c r="D5" s="18">
        <f>B2+B3</f>
        <v>9.5</v>
      </c>
      <c r="E5" s="51"/>
      <c r="F5" s="45">
        <f t="array" ref="F5:AJ5">TRANSPOSE(DATE($B$7,MONTH(C7&amp;1),1)+TRANSPOSE(COLUMN($C$1:$AN$1)-3))</f>
        <v>43891</v>
      </c>
      <c r="G5" s="47">
        <v>43892</v>
      </c>
      <c r="H5" s="47">
        <v>43893</v>
      </c>
      <c r="I5" s="47">
        <v>43894</v>
      </c>
      <c r="J5" s="47">
        <v>43895</v>
      </c>
      <c r="K5" s="47">
        <v>43896</v>
      </c>
      <c r="L5" s="47">
        <v>43897</v>
      </c>
      <c r="M5" s="47">
        <v>43898</v>
      </c>
      <c r="N5" s="47">
        <v>43899</v>
      </c>
      <c r="O5" s="47">
        <v>43900</v>
      </c>
      <c r="P5" s="47">
        <v>43901</v>
      </c>
      <c r="Q5" s="47">
        <v>43902</v>
      </c>
      <c r="R5" s="47">
        <v>43903</v>
      </c>
      <c r="S5" s="47">
        <v>43904</v>
      </c>
      <c r="T5" s="47">
        <v>43905</v>
      </c>
      <c r="U5" s="47">
        <v>43906</v>
      </c>
      <c r="V5" s="47">
        <v>43907</v>
      </c>
      <c r="W5" s="47">
        <v>43908</v>
      </c>
      <c r="X5" s="47">
        <v>43909</v>
      </c>
      <c r="Y5" s="47">
        <v>43910</v>
      </c>
      <c r="Z5" s="47">
        <v>43911</v>
      </c>
      <c r="AA5" s="47">
        <v>43912</v>
      </c>
      <c r="AB5" s="47">
        <v>43913</v>
      </c>
      <c r="AC5" s="47">
        <v>43914</v>
      </c>
      <c r="AD5" s="47">
        <v>43915</v>
      </c>
      <c r="AE5" s="47">
        <v>43916</v>
      </c>
      <c r="AF5" s="47">
        <v>43917</v>
      </c>
      <c r="AG5" s="47">
        <v>43918</v>
      </c>
      <c r="AH5" s="47">
        <v>43919</v>
      </c>
      <c r="AI5" s="47">
        <v>43920</v>
      </c>
      <c r="AJ5" s="19">
        <v>43921</v>
      </c>
      <c r="AK5" s="20"/>
      <c r="AL5" s="5"/>
      <c r="AM5" s="21"/>
      <c r="AN5" s="22"/>
      <c r="AO5" s="22"/>
      <c r="AP5" s="22"/>
      <c r="AQ5" s="22"/>
      <c r="AR5" s="22"/>
      <c r="AS5" s="22"/>
      <c r="AT5" s="22"/>
      <c r="AU5" s="22"/>
      <c r="AV5" s="23"/>
    </row>
    <row r="6" spans="1:48" ht="14.4">
      <c r="A6" s="24" t="s">
        <v>0</v>
      </c>
      <c r="B6" s="25" t="s">
        <v>1</v>
      </c>
      <c r="C6" s="25" t="s">
        <v>2</v>
      </c>
      <c r="D6" s="25" t="s">
        <v>3</v>
      </c>
      <c r="E6" s="25" t="s">
        <v>4</v>
      </c>
      <c r="F6" s="46">
        <f t="array" ref="F6:AJ6">TRANSPOSE(DATE($B$7,MONTH(C7&amp;1),1)+TRANSPOSE(COLUMN($C$1:$AN$1)-3))</f>
        <v>43891</v>
      </c>
      <c r="G6" s="48">
        <v>43892</v>
      </c>
      <c r="H6" s="48">
        <v>43893</v>
      </c>
      <c r="I6" s="48">
        <v>43894</v>
      </c>
      <c r="J6" s="48">
        <v>43895</v>
      </c>
      <c r="K6" s="48">
        <v>43896</v>
      </c>
      <c r="L6" s="48">
        <v>43897</v>
      </c>
      <c r="M6" s="48">
        <v>43898</v>
      </c>
      <c r="N6" s="48">
        <v>43899</v>
      </c>
      <c r="O6" s="48">
        <v>43900</v>
      </c>
      <c r="P6" s="48">
        <v>43901</v>
      </c>
      <c r="Q6" s="48">
        <v>43902</v>
      </c>
      <c r="R6" s="48">
        <v>43903</v>
      </c>
      <c r="S6" s="48">
        <v>43904</v>
      </c>
      <c r="T6" s="48">
        <v>43905</v>
      </c>
      <c r="U6" s="48">
        <v>43906</v>
      </c>
      <c r="V6" s="48">
        <v>43907</v>
      </c>
      <c r="W6" s="48">
        <v>43908</v>
      </c>
      <c r="X6" s="48">
        <v>43909</v>
      </c>
      <c r="Y6" s="48">
        <v>43910</v>
      </c>
      <c r="Z6" s="48">
        <v>43911</v>
      </c>
      <c r="AA6" s="48">
        <v>43912</v>
      </c>
      <c r="AB6" s="48">
        <v>43913</v>
      </c>
      <c r="AC6" s="48">
        <v>43914</v>
      </c>
      <c r="AD6" s="48">
        <v>43915</v>
      </c>
      <c r="AE6" s="48">
        <v>43916</v>
      </c>
      <c r="AF6" s="48">
        <v>43917</v>
      </c>
      <c r="AG6" s="48">
        <v>43918</v>
      </c>
      <c r="AH6" s="48">
        <v>43919</v>
      </c>
      <c r="AI6" s="48">
        <v>43920</v>
      </c>
      <c r="AJ6" s="26">
        <v>43921</v>
      </c>
      <c r="AK6" s="27" t="s">
        <v>37</v>
      </c>
      <c r="AL6" s="28"/>
      <c r="AM6" s="29" t="s">
        <v>39</v>
      </c>
      <c r="AN6" s="30" t="s">
        <v>40</v>
      </c>
      <c r="AO6" s="31" t="s">
        <v>35</v>
      </c>
      <c r="AP6" s="31" t="s">
        <v>41</v>
      </c>
      <c r="AQ6" s="31" t="s">
        <v>42</v>
      </c>
      <c r="AR6" s="18"/>
      <c r="AS6" s="31" t="s">
        <v>44</v>
      </c>
      <c r="AT6" s="31" t="s">
        <v>45</v>
      </c>
      <c r="AU6" s="31" t="s">
        <v>46</v>
      </c>
      <c r="AV6" s="32" t="s">
        <v>47</v>
      </c>
    </row>
    <row r="7" spans="1:48" ht="14.4">
      <c r="A7" s="33">
        <f>IF(
C7 = "January",1,
IF(C7 = "February",2,
IF(C7 = "March",3,
IF(C7 = "April",4,
IF(C7 = "May",5,
IF(C7 = "June",6,
IF(C7 = "July",7,
IF(C7 = "August",8,
IF(C7 = "September",9,
IF(C7 = "October",10,
IF(C7 = "November",11,
IF(C7 = "December",12))))))))))))</f>
        <v>3</v>
      </c>
      <c r="B7" s="34">
        <v>2020</v>
      </c>
      <c r="C7" s="35" t="s">
        <v>108</v>
      </c>
      <c r="D7" s="36" t="str">
        <f>C7&amp;"_"&amp;B7</f>
        <v>March_2020</v>
      </c>
      <c r="E7" s="35" t="s">
        <v>83</v>
      </c>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57"/>
      <c r="AI7" s="35"/>
      <c r="AJ7" s="35"/>
      <c r="AK7" s="58">
        <f t="shared" ref="AK7:AK11" si="0">SUM(F7:AJ7)</f>
        <v>0</v>
      </c>
      <c r="AL7" s="37" t="str">
        <f t="shared" ref="AL7:AL11" si="1">E7</f>
        <v>NON BILL PTO/Holiday</v>
      </c>
      <c r="AM7" s="50" t="s">
        <v>99</v>
      </c>
      <c r="AN7" s="50"/>
      <c r="AO7" s="38"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1.5</v>
      </c>
      <c r="AP7" s="38">
        <f>SUM(SUMIF(E:E, {"STATE Data Analysis","STATE Land Disposal","STATE Raster Processing/Management","STATE Data Editing","STATE Data Collection","STATE SMA","STATE Knowledge Transfer","STATE Mapping","STATE Meetings","STATE Training","STATE Travel","STATE VRM","STATE LWC","Testing/Workflow"}, AK:AK))</f>
        <v>8</v>
      </c>
      <c r="AQ7" s="38">
        <f t="array" ref="AQ7">SUM(SUMIF(E:E, {"NON BILL Company Overhead","NON BILL PTO/Holiday"}, AK:AK))</f>
        <v>0</v>
      </c>
      <c r="AR7" s="18"/>
      <c r="AS7" s="39">
        <f ca="1">AK12</f>
        <v>9.5</v>
      </c>
      <c r="AT7" s="38">
        <f>IFERROR(AO7/D5,"")</f>
        <v>0.15789473684210525</v>
      </c>
      <c r="AU7" s="38">
        <f>IFERROR(AP7/D5,"")</f>
        <v>0.84210526315789469</v>
      </c>
      <c r="AV7" s="40"/>
    </row>
    <row r="8" spans="1:48" ht="14.4">
      <c r="A8" s="60"/>
      <c r="B8" s="60"/>
      <c r="C8" s="61"/>
      <c r="D8" s="62"/>
      <c r="E8" s="35" t="s">
        <v>58</v>
      </c>
      <c r="F8" s="35"/>
      <c r="G8" s="35"/>
      <c r="H8" s="35">
        <v>0.5</v>
      </c>
      <c r="I8" s="35"/>
      <c r="J8" s="35"/>
      <c r="K8" s="35"/>
      <c r="L8" s="35"/>
      <c r="M8" s="35"/>
      <c r="N8" s="35"/>
      <c r="O8" s="35"/>
      <c r="P8" s="35"/>
      <c r="Q8" s="35"/>
      <c r="R8" s="35"/>
      <c r="S8" s="35"/>
      <c r="T8" s="35"/>
      <c r="U8" s="35"/>
      <c r="V8" s="35"/>
      <c r="W8" s="35"/>
      <c r="X8" s="35"/>
      <c r="Y8" s="35"/>
      <c r="Z8" s="35"/>
      <c r="AA8" s="35"/>
      <c r="AB8" s="35"/>
      <c r="AC8" s="35"/>
      <c r="AD8" s="35"/>
      <c r="AE8" s="35"/>
      <c r="AF8" s="35"/>
      <c r="AG8" s="35"/>
      <c r="AH8" s="57"/>
      <c r="AI8" s="35"/>
      <c r="AJ8" s="35"/>
      <c r="AK8" s="58">
        <f t="shared" si="0"/>
        <v>0.5</v>
      </c>
      <c r="AL8" s="37" t="str">
        <f t="shared" si="1"/>
        <v>NOC GTLF</v>
      </c>
      <c r="AM8" s="50" t="s">
        <v>99</v>
      </c>
      <c r="AN8" s="50"/>
      <c r="AO8" s="64"/>
      <c r="AP8" s="64"/>
      <c r="AQ8" s="64"/>
      <c r="AR8" s="65"/>
      <c r="AS8" s="66"/>
      <c r="AT8" s="64"/>
      <c r="AU8" s="64"/>
      <c r="AV8" s="63"/>
    </row>
    <row r="9" spans="1:48" ht="14.4">
      <c r="A9" s="60"/>
      <c r="B9" s="60"/>
      <c r="C9" s="61"/>
      <c r="D9" s="62"/>
      <c r="E9" s="35" t="s">
        <v>67</v>
      </c>
      <c r="F9" s="35"/>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57"/>
      <c r="AI9" s="35"/>
      <c r="AJ9" s="35"/>
      <c r="AK9" s="58">
        <f t="shared" si="0"/>
        <v>0</v>
      </c>
      <c r="AL9" s="37" t="str">
        <f t="shared" si="1"/>
        <v>NOC TMAP</v>
      </c>
      <c r="AM9" s="50" t="s">
        <v>99</v>
      </c>
      <c r="AN9" s="50"/>
      <c r="AO9" s="64"/>
      <c r="AP9" s="64"/>
      <c r="AQ9" s="64"/>
      <c r="AR9" s="65"/>
      <c r="AS9" s="66"/>
      <c r="AT9" s="64"/>
      <c r="AU9" s="64"/>
      <c r="AV9" s="63"/>
    </row>
    <row r="10" spans="1:48" ht="14.4">
      <c r="A10" s="60"/>
      <c r="B10" s="60"/>
      <c r="C10" s="61"/>
      <c r="D10" s="62"/>
      <c r="E10" s="35" t="s">
        <v>75</v>
      </c>
      <c r="F10" s="35"/>
      <c r="G10" s="35">
        <v>8</v>
      </c>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57"/>
      <c r="AI10" s="35"/>
      <c r="AJ10" s="35"/>
      <c r="AK10" s="58">
        <f t="shared" si="0"/>
        <v>8</v>
      </c>
      <c r="AL10" s="37" t="str">
        <f t="shared" si="1"/>
        <v>STATE Data Editing</v>
      </c>
      <c r="AM10" s="50" t="s">
        <v>99</v>
      </c>
      <c r="AN10" s="50"/>
      <c r="AO10" s="64"/>
      <c r="AP10" s="64"/>
      <c r="AQ10" s="64"/>
      <c r="AR10" s="65"/>
      <c r="AS10" s="66"/>
      <c r="AT10" s="64"/>
      <c r="AU10" s="64"/>
      <c r="AV10" s="63"/>
    </row>
    <row r="11" spans="1:48" ht="14.4">
      <c r="A11" s="60"/>
      <c r="B11" s="60"/>
      <c r="C11" s="61"/>
      <c r="D11" s="62"/>
      <c r="E11" s="35" t="s">
        <v>50</v>
      </c>
      <c r="F11" s="35"/>
      <c r="G11" s="35">
        <v>1</v>
      </c>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57"/>
      <c r="AI11" s="35"/>
      <c r="AJ11" s="35"/>
      <c r="AK11" s="58">
        <f t="shared" si="0"/>
        <v>1</v>
      </c>
      <c r="AL11" s="37" t="str">
        <f t="shared" si="1"/>
        <v>NOC Misc</v>
      </c>
      <c r="AM11" s="50" t="s">
        <v>99</v>
      </c>
      <c r="AN11" s="50"/>
      <c r="AO11" s="64"/>
      <c r="AP11" s="64"/>
      <c r="AQ11" s="64"/>
      <c r="AR11" s="65"/>
      <c r="AS11" s="66"/>
      <c r="AT11" s="64"/>
      <c r="AU11" s="64"/>
      <c r="AV11" s="63"/>
    </row>
    <row r="12" spans="1:48" ht="15.75" customHeight="1">
      <c r="A12" s="41" t="s">
        <v>48</v>
      </c>
      <c r="B12" s="3"/>
      <c r="C12" s="3"/>
      <c r="D12" s="42"/>
      <c r="E12" s="27" t="s">
        <v>37</v>
      </c>
      <c r="F12" s="58">
        <f ca="1">SUM(INDIRECT("F7:F"&amp;ROW()-1))</f>
        <v>0</v>
      </c>
      <c r="G12" s="58">
        <f ca="1">SUM(INDIRECT("G7:G"&amp;ROW()-1))</f>
        <v>9</v>
      </c>
      <c r="H12" s="58">
        <f ca="1">SUM(INDIRECT("H7:H"&amp;ROW()-1))</f>
        <v>0.5</v>
      </c>
      <c r="I12" s="58">
        <f ca="1">SUM(INDIRECT("I7:I"&amp;ROW()-1))</f>
        <v>0</v>
      </c>
      <c r="J12" s="58">
        <f ca="1">SUM(INDIRECT("J7:J"&amp;ROW()-1))</f>
        <v>0</v>
      </c>
      <c r="K12" s="58">
        <f ca="1">SUM(INDIRECT("K7:K"&amp;ROW()-1))</f>
        <v>0</v>
      </c>
      <c r="L12" s="58">
        <f ca="1">SUM(INDIRECT("L7:L"&amp;ROW()-1))</f>
        <v>0</v>
      </c>
      <c r="M12" s="58">
        <f ca="1">SUM(INDIRECT("M7:M"&amp;ROW()-1))</f>
        <v>0</v>
      </c>
      <c r="N12" s="58">
        <f ca="1">SUM(INDIRECT("N7:N"&amp;ROW()-1))</f>
        <v>0</v>
      </c>
      <c r="O12" s="58">
        <f ca="1">SUM(INDIRECT("O7:O"&amp;ROW()-1))</f>
        <v>0</v>
      </c>
      <c r="P12" s="58">
        <f ca="1">SUM(INDIRECT("P7:P"&amp;ROW()-1))</f>
        <v>0</v>
      </c>
      <c r="Q12" s="58">
        <f ca="1">SUM(INDIRECT("Q7:Q"&amp;ROW()-1))</f>
        <v>0</v>
      </c>
      <c r="R12" s="58">
        <f ca="1">SUM(INDIRECT("R7:R"&amp;ROW()-1))</f>
        <v>0</v>
      </c>
      <c r="S12" s="58">
        <f ca="1">SUM(INDIRECT("S7:S"&amp;ROW()-1))</f>
        <v>0</v>
      </c>
      <c r="T12" s="58">
        <f ca="1">SUM(INDIRECT("T7:T"&amp;ROW()-1))</f>
        <v>0</v>
      </c>
      <c r="U12" s="58">
        <f ca="1">SUM(INDIRECT("U7:U"&amp;ROW()-1))</f>
        <v>0</v>
      </c>
      <c r="V12" s="58">
        <f ca="1">SUM(INDIRECT("V7:V"&amp;ROW()-1))</f>
        <v>0</v>
      </c>
      <c r="W12" s="58">
        <f ca="1">SUM(INDIRECT("W7:W"&amp;ROW()-1))</f>
        <v>0</v>
      </c>
      <c r="X12" s="58">
        <f ca="1">SUM(INDIRECT("X7:X"&amp;ROW()-1))</f>
        <v>0</v>
      </c>
      <c r="Y12" s="58">
        <f ca="1">SUM(INDIRECT("Y7:Y"&amp;ROW()-1))</f>
        <v>0</v>
      </c>
      <c r="Z12" s="58">
        <f ca="1">SUM(INDIRECT("Z7:Z"&amp;ROW()-1))</f>
        <v>0</v>
      </c>
      <c r="AA12" s="58">
        <f ca="1">SUM(INDIRECT("AA7:AA"&amp;ROW()-1))</f>
        <v>0</v>
      </c>
      <c r="AB12" s="58">
        <f ca="1">SUM(INDIRECT("AB7:AB"&amp;ROW()-1))</f>
        <v>0</v>
      </c>
      <c r="AC12" s="58">
        <f ca="1">SUM(INDIRECT("AC7:AC"&amp;ROW()-1))</f>
        <v>0</v>
      </c>
      <c r="AD12" s="58">
        <f ca="1">SUM(INDIRECT("AD7:AD"&amp;ROW()-1))</f>
        <v>0</v>
      </c>
      <c r="AE12" s="58">
        <f ca="1">SUM(INDIRECT("AE7:AE"&amp;ROW()-1))</f>
        <v>0</v>
      </c>
      <c r="AF12" s="58">
        <f ca="1">SUM(INDIRECT("AF7:AF"&amp;ROW()-1))</f>
        <v>0</v>
      </c>
      <c r="AG12" s="58">
        <f ca="1">SUM(INDIRECT("AG7:AG"&amp;ROW()-1))</f>
        <v>0</v>
      </c>
      <c r="AH12" s="58">
        <f ca="1">SUM(INDIRECT("AH7:AH"&amp;ROW()-1))</f>
        <v>0</v>
      </c>
      <c r="AI12" s="58">
        <f ca="1">SUM(INDIRECT("AI7:AI"&amp;ROW()-1))</f>
        <v>0</v>
      </c>
      <c r="AJ12" s="58">
        <f ca="1">SUM(INDIRECT("AJ7:AJ"&amp;ROW()-1))</f>
        <v>0</v>
      </c>
      <c r="AK12" s="58">
        <f ca="1">SUM(INDIRECT("AK7:AK"&amp;ROW()-1))</f>
        <v>9.5</v>
      </c>
      <c r="AL12" s="43"/>
      <c r="AM12" s="3"/>
      <c r="AN12" s="3"/>
      <c r="AO12" s="3"/>
      <c r="AP12" s="3"/>
      <c r="AQ12" s="3"/>
      <c r="AR12" s="3"/>
      <c r="AS12" s="3"/>
      <c r="AT12" s="3"/>
      <c r="AU12" s="3"/>
      <c r="AV12" s="6"/>
    </row>
    <row r="13" spans="1:48" ht="15.75" customHeight="1">
      <c r="A13" s="41" t="s">
        <v>48</v>
      </c>
      <c r="B13" s="3"/>
      <c r="C13" s="3"/>
      <c r="D13" s="3"/>
      <c r="E13" s="44" t="s">
        <v>49</v>
      </c>
      <c r="F13" s="59"/>
      <c r="G13" s="59">
        <v>9</v>
      </c>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43"/>
      <c r="AM13" s="3"/>
      <c r="AN13" s="3"/>
      <c r="AO13" s="3"/>
      <c r="AP13" s="3"/>
      <c r="AQ13" s="3"/>
      <c r="AR13" s="3"/>
      <c r="AS13" s="3"/>
      <c r="AT13" s="3"/>
      <c r="AU13" s="3"/>
      <c r="AV13" s="6"/>
    </row>
    <row r="14" spans="1:48" ht="15.75" customHeight="1"/>
    <row r="15" spans="1:48" ht="15.75" customHeight="1"/>
    <row r="16" spans="1:48"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sheetData>
  <conditionalFormatting sqref="F1:AJ13">
    <cfRule type="expression" dxfId="9" priority="12">
      <formula>F$4=TODAY()</formula>
    </cfRule>
  </conditionalFormatting>
  <conditionalFormatting sqref="AH1:AJ13">
    <cfRule type="expression" dxfId="8" priority="13">
      <formula>AH$5=""</formula>
    </cfRule>
  </conditionalFormatting>
  <conditionalFormatting sqref="F1:AJ13">
    <cfRule type="expression" dxfId="7" priority="14">
      <formula>OR(WEEKDAY(F$5)=1,WEEKDAY(F$5)=7)</formula>
    </cfRule>
  </conditionalFormatting>
  <conditionalFormatting sqref="A12:AV13 A1:AV7 AV8:AV11 A8:AN11">
    <cfRule type="expression" dxfId="6" priority="15">
      <formula>$E1="NON BILL PTO/Holiday"</formula>
    </cfRule>
  </conditionalFormatting>
  <conditionalFormatting sqref="A12:AV13 A1:AV7 AV8:AV11 A8:AN11">
    <cfRule type="expression" dxfId="5" priority="16">
      <formula>$E1="NON BILL Company Overhead"</formula>
    </cfRule>
  </conditionalFormatting>
  <conditionalFormatting sqref="AH1:AH1048576">
    <cfRule type="expression" dxfId="4" priority="6">
      <formula>$AH$1=FALSE</formula>
    </cfRule>
  </conditionalFormatting>
  <conditionalFormatting sqref="AI1:AI1048576">
    <cfRule type="expression" dxfId="3" priority="5">
      <formula>$AI$1=FALSE</formula>
    </cfRule>
  </conditionalFormatting>
  <conditionalFormatting sqref="AJ1:AJ1048576">
    <cfRule type="expression" dxfId="2" priority="4">
      <formula>$AJ$1=FALSE</formula>
    </cfRule>
  </conditionalFormatting>
  <conditionalFormatting sqref="AL1:AL1048576">
    <cfRule type="duplicateValues" dxfId="1" priority="2"/>
  </conditionalFormatting>
  <conditionalFormatting sqref="E1:E1048576">
    <cfRule type="duplicateValues" dxfId="0" priority="1"/>
  </conditionalFormatting>
  <dataValidations count="2">
    <dataValidation type="list" allowBlank="1" sqref="B7:B11" xr:uid="{00000000-0002-0000-0000-000000000000}">
      <formula1>"2019,2020,2021,2022,2023,2024,2025,2026,2027,2028,2029,2030"</formula1>
    </dataValidation>
    <dataValidation type="list" allowBlank="1" sqref="C7:C11"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7620</xdr:colOff>
                    <xdr:row>4</xdr:row>
                    <xdr:rowOff>7620</xdr:rowOff>
                  </from>
                  <to>
                    <xdr:col>4</xdr:col>
                    <xdr:colOff>1264920</xdr:colOff>
                    <xdr:row>4</xdr:row>
                    <xdr:rowOff>365760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7620</xdr:rowOff>
                  </from>
                  <to>
                    <xdr:col>39</xdr:col>
                    <xdr:colOff>228600</xdr:colOff>
                    <xdr:row>3</xdr:row>
                    <xdr:rowOff>175260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7620</xdr:colOff>
                    <xdr:row>2</xdr:row>
                    <xdr:rowOff>7620</xdr:rowOff>
                  </from>
                  <to>
                    <xdr:col>46</xdr:col>
                    <xdr:colOff>190500</xdr:colOff>
                    <xdr:row>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E7:E11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26"/>
  <sheetViews>
    <sheetView workbookViewId="0">
      <selection activeCell="A13" sqref="A13:AV57"/>
    </sheetView>
  </sheetViews>
  <sheetFormatPr defaultColWidth="14.44140625" defaultRowHeight="15.75" customHeight="1"/>
  <cols>
    <col min="48" max="48" width="14.44140625" style="53"/>
  </cols>
  <sheetData>
    <row r="1" spans="1:48" ht="15.6">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2"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3" t="s">
        <v>47</v>
      </c>
    </row>
    <row r="3" spans="1:48" ht="15.75" customHeight="1">
      <c r="A3">
        <v>1</v>
      </c>
      <c r="B3">
        <v>2020</v>
      </c>
      <c r="C3" t="s">
        <v>94</v>
      </c>
      <c r="D3" t="s">
        <v>102</v>
      </c>
      <c r="E3" t="s">
        <v>83</v>
      </c>
      <c r="F3">
        <v>8</v>
      </c>
      <c r="Y3">
        <v>8</v>
      </c>
      <c r="AK3">
        <v>16</v>
      </c>
      <c r="AL3" t="s">
        <v>83</v>
      </c>
      <c r="AM3" t="s">
        <v>99</v>
      </c>
      <c r="AO3">
        <v>92</v>
      </c>
      <c r="AP3">
        <v>76</v>
      </c>
      <c r="AQ3">
        <v>16</v>
      </c>
      <c r="AS3">
        <v>184</v>
      </c>
      <c r="AT3">
        <v>0.54761904761904767</v>
      </c>
      <c r="AU3">
        <v>0.45238095238095238</v>
      </c>
      <c r="AV3" s="53">
        <v>43861.697453703702</v>
      </c>
    </row>
    <row r="4" spans="1:48" ht="15.75" customHeight="1">
      <c r="E4" t="s">
        <v>76</v>
      </c>
      <c r="AB4">
        <v>1.5</v>
      </c>
      <c r="AC4">
        <v>0.5</v>
      </c>
      <c r="AK4">
        <v>2</v>
      </c>
      <c r="AL4" t="s">
        <v>76</v>
      </c>
      <c r="AM4" t="s">
        <v>99</v>
      </c>
      <c r="AN4" t="s">
        <v>100</v>
      </c>
    </row>
    <row r="5" spans="1:48" ht="15.75" customHeight="1">
      <c r="E5" t="s">
        <v>80</v>
      </c>
      <c r="T5">
        <v>1</v>
      </c>
      <c r="AK5">
        <v>1</v>
      </c>
      <c r="AL5" t="s">
        <v>80</v>
      </c>
      <c r="AM5" t="s">
        <v>99</v>
      </c>
    </row>
    <row r="6" spans="1:48" ht="15.75" customHeight="1">
      <c r="E6" t="s">
        <v>51</v>
      </c>
      <c r="U6">
        <v>3</v>
      </c>
      <c r="AI6">
        <v>0.5</v>
      </c>
      <c r="AK6">
        <v>3.5</v>
      </c>
      <c r="AL6" t="s">
        <v>51</v>
      </c>
      <c r="AM6" t="s">
        <v>99</v>
      </c>
    </row>
    <row r="7" spans="1:48" ht="15.75" customHeight="1">
      <c r="E7" t="s">
        <v>79</v>
      </c>
      <c r="L7">
        <v>1</v>
      </c>
      <c r="R7">
        <v>1</v>
      </c>
      <c r="T7">
        <v>1</v>
      </c>
      <c r="Z7">
        <v>1</v>
      </c>
      <c r="AG7">
        <v>1</v>
      </c>
      <c r="AK7">
        <v>5</v>
      </c>
      <c r="AL7" t="s">
        <v>79</v>
      </c>
      <c r="AM7" t="s">
        <v>99</v>
      </c>
    </row>
    <row r="8" spans="1:48" ht="15.75" customHeight="1">
      <c r="E8" t="s">
        <v>50</v>
      </c>
      <c r="M8">
        <v>1</v>
      </c>
      <c r="U8">
        <v>1.5</v>
      </c>
      <c r="V8">
        <v>1</v>
      </c>
      <c r="AA8">
        <v>1</v>
      </c>
      <c r="AB8">
        <v>0.5</v>
      </c>
      <c r="AG8">
        <v>0.5</v>
      </c>
      <c r="AH8">
        <v>1</v>
      </c>
      <c r="AK8">
        <v>6.5</v>
      </c>
      <c r="AL8" t="s">
        <v>50</v>
      </c>
      <c r="AM8" t="s">
        <v>99</v>
      </c>
    </row>
    <row r="9" spans="1:48" ht="15.75" customHeight="1">
      <c r="E9" t="s">
        <v>67</v>
      </c>
      <c r="G9">
        <v>4</v>
      </c>
      <c r="S9">
        <v>0.5</v>
      </c>
      <c r="U9">
        <v>5</v>
      </c>
      <c r="V9">
        <v>7.5</v>
      </c>
      <c r="Z9">
        <v>6.5</v>
      </c>
      <c r="AA9">
        <v>6.5</v>
      </c>
      <c r="AB9">
        <v>5.5</v>
      </c>
      <c r="AC9">
        <v>6</v>
      </c>
      <c r="AF9">
        <v>8.5</v>
      </c>
      <c r="AG9">
        <v>7.5</v>
      </c>
      <c r="AH9">
        <v>7</v>
      </c>
      <c r="AI9">
        <v>8</v>
      </c>
      <c r="AJ9">
        <v>9.5</v>
      </c>
      <c r="AK9">
        <v>82</v>
      </c>
      <c r="AL9" t="s">
        <v>67</v>
      </c>
      <c r="AM9" t="s">
        <v>99</v>
      </c>
    </row>
    <row r="10" spans="1:48" ht="15.75" customHeight="1">
      <c r="E10" t="s">
        <v>74</v>
      </c>
      <c r="G10">
        <v>4</v>
      </c>
      <c r="H10">
        <v>8</v>
      </c>
      <c r="L10">
        <v>7</v>
      </c>
      <c r="M10">
        <v>7</v>
      </c>
      <c r="N10">
        <v>7.5</v>
      </c>
      <c r="O10">
        <v>8</v>
      </c>
      <c r="R10">
        <v>9</v>
      </c>
      <c r="S10">
        <v>9.5</v>
      </c>
      <c r="T10">
        <v>8</v>
      </c>
      <c r="AK10">
        <v>68</v>
      </c>
      <c r="AL10" t="s">
        <v>74</v>
      </c>
      <c r="AM10" t="s">
        <v>99</v>
      </c>
      <c r="AN10" t="s">
        <v>101</v>
      </c>
    </row>
    <row r="11" spans="1:48" ht="15.75" customHeight="1">
      <c r="A11" t="s">
        <v>48</v>
      </c>
      <c r="E11" t="s">
        <v>37</v>
      </c>
      <c r="F11">
        <v>8</v>
      </c>
      <c r="G11">
        <v>8</v>
      </c>
      <c r="H11">
        <v>8</v>
      </c>
      <c r="I11">
        <v>0</v>
      </c>
      <c r="J11">
        <v>0</v>
      </c>
      <c r="K11">
        <v>0</v>
      </c>
      <c r="L11">
        <v>8</v>
      </c>
      <c r="M11">
        <v>8</v>
      </c>
      <c r="N11">
        <v>7.5</v>
      </c>
      <c r="O11">
        <v>8</v>
      </c>
      <c r="P11">
        <v>0</v>
      </c>
      <c r="Q11">
        <v>0</v>
      </c>
      <c r="R11">
        <v>10</v>
      </c>
      <c r="S11">
        <v>10</v>
      </c>
      <c r="T11">
        <v>10</v>
      </c>
      <c r="U11">
        <v>9.5</v>
      </c>
      <c r="V11">
        <v>8.5</v>
      </c>
      <c r="W11">
        <v>0</v>
      </c>
      <c r="X11">
        <v>0</v>
      </c>
      <c r="Y11">
        <v>8</v>
      </c>
      <c r="Z11">
        <v>7.5</v>
      </c>
      <c r="AA11">
        <v>7.5</v>
      </c>
      <c r="AB11">
        <v>7.5</v>
      </c>
      <c r="AC11">
        <v>6.5</v>
      </c>
      <c r="AD11">
        <v>0</v>
      </c>
      <c r="AE11">
        <v>0</v>
      </c>
      <c r="AF11">
        <v>8.5</v>
      </c>
      <c r="AG11">
        <v>9</v>
      </c>
      <c r="AH11">
        <v>8</v>
      </c>
      <c r="AI11">
        <v>8.5</v>
      </c>
      <c r="AJ11">
        <v>9.5</v>
      </c>
      <c r="AK11">
        <v>184</v>
      </c>
    </row>
    <row r="12" spans="1:48" ht="15.75" customHeight="1">
      <c r="A12" t="s">
        <v>48</v>
      </c>
      <c r="E12" t="s">
        <v>49</v>
      </c>
      <c r="F12">
        <v>8</v>
      </c>
      <c r="G12">
        <v>8</v>
      </c>
      <c r="H12">
        <v>8</v>
      </c>
      <c r="K12">
        <v>0</v>
      </c>
      <c r="L12">
        <v>8</v>
      </c>
      <c r="M12">
        <v>8</v>
      </c>
      <c r="N12">
        <v>7.5</v>
      </c>
      <c r="O12">
        <v>8</v>
      </c>
      <c r="R12">
        <v>10</v>
      </c>
      <c r="S12">
        <v>10</v>
      </c>
      <c r="T12">
        <v>10</v>
      </c>
      <c r="U12">
        <v>9.5</v>
      </c>
      <c r="V12">
        <v>8.5</v>
      </c>
      <c r="Y12">
        <v>8</v>
      </c>
      <c r="Z12">
        <v>7.5</v>
      </c>
      <c r="AA12">
        <v>7.5</v>
      </c>
      <c r="AB12">
        <v>7.5</v>
      </c>
      <c r="AC12">
        <v>6.5</v>
      </c>
      <c r="AF12">
        <v>8.5</v>
      </c>
      <c r="AG12">
        <v>9</v>
      </c>
      <c r="AH12">
        <v>8</v>
      </c>
      <c r="AI12">
        <v>8.5</v>
      </c>
      <c r="AJ12">
        <v>9.5</v>
      </c>
    </row>
    <row r="13" spans="1:48" ht="15.75" customHeight="1">
      <c r="A13" t="s">
        <v>0</v>
      </c>
      <c r="B13" t="s">
        <v>1</v>
      </c>
      <c r="C13" t="s">
        <v>2</v>
      </c>
      <c r="D13" t="s">
        <v>3</v>
      </c>
      <c r="E13" t="s">
        <v>4</v>
      </c>
      <c r="F13">
        <v>43862</v>
      </c>
      <c r="G13">
        <v>43863</v>
      </c>
      <c r="H13">
        <v>43864</v>
      </c>
      <c r="I13">
        <v>43865</v>
      </c>
      <c r="J13">
        <v>43866</v>
      </c>
      <c r="K13">
        <v>43867</v>
      </c>
      <c r="L13">
        <v>43868</v>
      </c>
      <c r="M13">
        <v>43869</v>
      </c>
      <c r="N13">
        <v>43870</v>
      </c>
      <c r="O13">
        <v>43871</v>
      </c>
      <c r="P13">
        <v>43872</v>
      </c>
      <c r="Q13">
        <v>43873</v>
      </c>
      <c r="R13">
        <v>43874</v>
      </c>
      <c r="S13">
        <v>43875</v>
      </c>
      <c r="T13">
        <v>43876</v>
      </c>
      <c r="U13">
        <v>43877</v>
      </c>
      <c r="V13">
        <v>43878</v>
      </c>
      <c r="W13">
        <v>43879</v>
      </c>
      <c r="X13">
        <v>43880</v>
      </c>
      <c r="Y13">
        <v>43881</v>
      </c>
      <c r="Z13">
        <v>43882</v>
      </c>
      <c r="AA13">
        <v>43883</v>
      </c>
      <c r="AB13">
        <v>43884</v>
      </c>
      <c r="AC13">
        <v>43885</v>
      </c>
      <c r="AD13">
        <v>43886</v>
      </c>
      <c r="AE13">
        <v>43887</v>
      </c>
      <c r="AF13">
        <v>43888</v>
      </c>
      <c r="AG13">
        <v>43889</v>
      </c>
      <c r="AH13">
        <v>43890</v>
      </c>
      <c r="AI13">
        <v>43891</v>
      </c>
      <c r="AJ13">
        <v>43892</v>
      </c>
      <c r="AK13" t="s">
        <v>37</v>
      </c>
      <c r="AM13" t="s">
        <v>39</v>
      </c>
      <c r="AN13" t="s">
        <v>40</v>
      </c>
      <c r="AO13" t="s">
        <v>35</v>
      </c>
      <c r="AP13" t="s">
        <v>41</v>
      </c>
      <c r="AQ13" t="s">
        <v>42</v>
      </c>
      <c r="AS13" t="s">
        <v>44</v>
      </c>
      <c r="AT13" t="s">
        <v>45</v>
      </c>
      <c r="AU13" t="s">
        <v>46</v>
      </c>
      <c r="AV13" s="53" t="s">
        <v>47</v>
      </c>
    </row>
    <row r="14" spans="1:48" ht="15.75" customHeight="1">
      <c r="A14">
        <v>2</v>
      </c>
      <c r="B14">
        <v>2020</v>
      </c>
      <c r="C14" t="s">
        <v>103</v>
      </c>
      <c r="D14" t="s">
        <v>107</v>
      </c>
      <c r="E14" t="s">
        <v>83</v>
      </c>
      <c r="V14">
        <v>8</v>
      </c>
      <c r="AK14">
        <v>8</v>
      </c>
      <c r="AL14" t="s">
        <v>83</v>
      </c>
      <c r="AM14" t="s">
        <v>99</v>
      </c>
      <c r="AO14">
        <v>96</v>
      </c>
      <c r="AP14">
        <v>55.5</v>
      </c>
      <c r="AQ14">
        <v>8</v>
      </c>
      <c r="AS14">
        <v>159.5</v>
      </c>
      <c r="AT14">
        <v>0.63366336633663367</v>
      </c>
      <c r="AU14">
        <v>0.36633663366336633</v>
      </c>
      <c r="AV14" s="53">
        <v>43889.719930555555</v>
      </c>
    </row>
    <row r="15" spans="1:48" ht="15.75" customHeight="1">
      <c r="AK15">
        <v>0</v>
      </c>
      <c r="AL15">
        <v>0</v>
      </c>
      <c r="AM15" t="s">
        <v>99</v>
      </c>
    </row>
    <row r="16" spans="1:48" ht="15.75" customHeight="1">
      <c r="E16" t="s">
        <v>58</v>
      </c>
      <c r="X16">
        <v>1.5</v>
      </c>
      <c r="Y16">
        <v>7</v>
      </c>
      <c r="Z16">
        <v>8.5</v>
      </c>
      <c r="AC16">
        <v>7.5</v>
      </c>
      <c r="AD16">
        <v>6</v>
      </c>
      <c r="AE16">
        <v>5.5</v>
      </c>
      <c r="AK16">
        <v>36</v>
      </c>
      <c r="AL16" t="s">
        <v>58</v>
      </c>
      <c r="AM16" t="s">
        <v>99</v>
      </c>
    </row>
    <row r="17" spans="1:40" ht="15.75" customHeight="1">
      <c r="E17" t="s">
        <v>51</v>
      </c>
      <c r="R17">
        <v>0.5</v>
      </c>
      <c r="AK17">
        <v>0.5</v>
      </c>
      <c r="AL17" t="s">
        <v>51</v>
      </c>
      <c r="AM17" t="s">
        <v>99</v>
      </c>
      <c r="AN17" t="s">
        <v>105</v>
      </c>
    </row>
    <row r="18" spans="1:40" ht="15.75" customHeight="1">
      <c r="E18" t="s">
        <v>74</v>
      </c>
      <c r="W18">
        <v>2</v>
      </c>
      <c r="AK18">
        <v>2</v>
      </c>
      <c r="AL18" t="s">
        <v>74</v>
      </c>
      <c r="AM18" t="s">
        <v>99</v>
      </c>
    </row>
    <row r="19" spans="1:40" ht="15.75" customHeight="1">
      <c r="E19" t="s">
        <v>75</v>
      </c>
      <c r="O19">
        <v>8</v>
      </c>
      <c r="P19">
        <v>6.5</v>
      </c>
      <c r="R19">
        <v>5</v>
      </c>
      <c r="S19">
        <v>6.5</v>
      </c>
      <c r="W19">
        <v>6</v>
      </c>
      <c r="X19">
        <v>4.5</v>
      </c>
      <c r="AF19">
        <v>6.5</v>
      </c>
      <c r="AG19">
        <v>5</v>
      </c>
      <c r="AK19">
        <v>48</v>
      </c>
      <c r="AL19" t="s">
        <v>75</v>
      </c>
      <c r="AM19" t="s">
        <v>99</v>
      </c>
      <c r="AN19" t="s">
        <v>106</v>
      </c>
    </row>
    <row r="20" spans="1:40" ht="15.75" customHeight="1">
      <c r="E20" t="s">
        <v>104</v>
      </c>
      <c r="J20">
        <v>1</v>
      </c>
      <c r="P20">
        <v>1.5</v>
      </c>
      <c r="Q20">
        <v>1</v>
      </c>
      <c r="R20">
        <v>1</v>
      </c>
      <c r="X20">
        <v>1.5</v>
      </c>
      <c r="AC20">
        <v>0.5</v>
      </c>
      <c r="AD20">
        <v>0.5</v>
      </c>
      <c r="AE20">
        <v>0.5</v>
      </c>
      <c r="AK20">
        <v>7.5</v>
      </c>
      <c r="AL20" t="s">
        <v>104</v>
      </c>
      <c r="AM20" t="s">
        <v>99</v>
      </c>
    </row>
    <row r="21" spans="1:40" ht="15.75" customHeight="1">
      <c r="E21" t="s">
        <v>89</v>
      </c>
      <c r="AK21">
        <v>0</v>
      </c>
      <c r="AL21" t="s">
        <v>89</v>
      </c>
      <c r="AM21" t="s">
        <v>99</v>
      </c>
    </row>
    <row r="22" spans="1:40" ht="15.75" customHeight="1">
      <c r="E22" t="s">
        <v>50</v>
      </c>
      <c r="I22">
        <v>0.5</v>
      </c>
      <c r="Q22">
        <v>3</v>
      </c>
      <c r="AD22">
        <v>0.5</v>
      </c>
      <c r="AE22">
        <v>1.5</v>
      </c>
      <c r="AF22">
        <v>1.5</v>
      </c>
      <c r="AG22">
        <v>3</v>
      </c>
      <c r="AK22">
        <v>10</v>
      </c>
      <c r="AL22" t="s">
        <v>50</v>
      </c>
      <c r="AM22" t="s">
        <v>99</v>
      </c>
    </row>
    <row r="23" spans="1:40" ht="15.75" customHeight="1">
      <c r="E23" t="s">
        <v>79</v>
      </c>
      <c r="I23">
        <v>1</v>
      </c>
      <c r="Q23">
        <v>1</v>
      </c>
      <c r="X23">
        <v>1</v>
      </c>
      <c r="Y23">
        <v>1.5</v>
      </c>
      <c r="AE23">
        <v>1</v>
      </c>
      <c r="AK23">
        <v>5.5</v>
      </c>
      <c r="AL23" t="s">
        <v>79</v>
      </c>
      <c r="AM23" t="s">
        <v>99</v>
      </c>
    </row>
    <row r="24" spans="1:40" ht="15.75" customHeight="1">
      <c r="E24" t="s">
        <v>67</v>
      </c>
      <c r="H24">
        <v>9</v>
      </c>
      <c r="I24">
        <v>8</v>
      </c>
      <c r="J24">
        <v>8</v>
      </c>
      <c r="K24">
        <v>8</v>
      </c>
      <c r="L24">
        <v>9</v>
      </c>
      <c r="AK24">
        <v>42</v>
      </c>
      <c r="AL24" t="s">
        <v>67</v>
      </c>
      <c r="AM24" t="s">
        <v>99</v>
      </c>
    </row>
    <row r="25" spans="1:40" ht="15.75" customHeight="1">
      <c r="A25" t="s">
        <v>48</v>
      </c>
      <c r="E25" t="s">
        <v>37</v>
      </c>
      <c r="F25">
        <v>0</v>
      </c>
      <c r="G25">
        <v>0</v>
      </c>
      <c r="H25">
        <v>9</v>
      </c>
      <c r="I25">
        <v>9.5</v>
      </c>
      <c r="J25">
        <v>9</v>
      </c>
      <c r="K25">
        <v>8</v>
      </c>
      <c r="L25">
        <v>9</v>
      </c>
      <c r="M25">
        <v>0</v>
      </c>
      <c r="N25">
        <v>0</v>
      </c>
      <c r="O25">
        <v>8</v>
      </c>
      <c r="P25">
        <v>8</v>
      </c>
      <c r="Q25">
        <v>5</v>
      </c>
      <c r="R25">
        <v>6.5</v>
      </c>
      <c r="S25">
        <v>6.5</v>
      </c>
      <c r="T25">
        <v>0</v>
      </c>
      <c r="U25">
        <v>0</v>
      </c>
      <c r="V25">
        <v>8</v>
      </c>
      <c r="W25">
        <v>8</v>
      </c>
      <c r="X25">
        <v>8.5</v>
      </c>
      <c r="Y25">
        <v>8.5</v>
      </c>
      <c r="Z25">
        <v>8.5</v>
      </c>
      <c r="AA25">
        <v>0</v>
      </c>
      <c r="AB25">
        <v>0</v>
      </c>
      <c r="AC25">
        <v>8</v>
      </c>
      <c r="AD25">
        <v>7</v>
      </c>
      <c r="AE25">
        <v>8.5</v>
      </c>
      <c r="AF25">
        <v>8</v>
      </c>
      <c r="AG25">
        <v>8</v>
      </c>
      <c r="AH25">
        <v>0</v>
      </c>
      <c r="AI25">
        <v>0</v>
      </c>
      <c r="AJ25">
        <v>0</v>
      </c>
      <c r="AK25">
        <v>159.5</v>
      </c>
    </row>
    <row r="26" spans="1:40" ht="15.75" customHeight="1">
      <c r="A26" t="s">
        <v>48</v>
      </c>
      <c r="E26" t="s">
        <v>49</v>
      </c>
      <c r="H26">
        <v>9</v>
      </c>
      <c r="I26">
        <v>9.5</v>
      </c>
      <c r="J26">
        <v>9</v>
      </c>
      <c r="K26">
        <v>8</v>
      </c>
      <c r="L26">
        <v>9</v>
      </c>
      <c r="O26">
        <v>8</v>
      </c>
      <c r="P26">
        <v>8</v>
      </c>
      <c r="Q26">
        <v>5</v>
      </c>
      <c r="R26">
        <v>6.5</v>
      </c>
      <c r="S26">
        <v>6.5</v>
      </c>
      <c r="V26">
        <v>8</v>
      </c>
      <c r="W26">
        <v>8</v>
      </c>
      <c r="X26">
        <v>8.5</v>
      </c>
      <c r="Y26">
        <v>8.5</v>
      </c>
      <c r="Z26">
        <v>8.5</v>
      </c>
      <c r="AC26">
        <v>8</v>
      </c>
      <c r="AD26">
        <v>7</v>
      </c>
      <c r="AE26">
        <v>8.5</v>
      </c>
      <c r="AF26">
        <v>8.5</v>
      </c>
      <c r="AG26">
        <v>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3" sqref="A3"/>
    </sheetView>
  </sheetViews>
  <sheetFormatPr defaultRowHeight="13.2"/>
  <sheetData>
    <row r="1" spans="1:1">
      <c r="A1" s="56" t="s">
        <v>50</v>
      </c>
    </row>
    <row r="2" spans="1:1">
      <c r="A2" s="56" t="s">
        <v>104</v>
      </c>
    </row>
    <row r="3" spans="1:1">
      <c r="A3" s="56" t="s">
        <v>51</v>
      </c>
    </row>
    <row r="4" spans="1:1">
      <c r="A4" s="56" t="s">
        <v>85</v>
      </c>
    </row>
    <row r="5" spans="1:1">
      <c r="A5" s="56" t="s">
        <v>86</v>
      </c>
    </row>
    <row r="6" spans="1:1">
      <c r="A6" s="56" t="s">
        <v>87</v>
      </c>
    </row>
    <row r="7" spans="1:1">
      <c r="A7" s="56" t="s">
        <v>52</v>
      </c>
    </row>
    <row r="8" spans="1:1">
      <c r="A8" s="56" t="s">
        <v>53</v>
      </c>
    </row>
    <row r="9" spans="1:1">
      <c r="A9" s="56" t="s">
        <v>54</v>
      </c>
    </row>
    <row r="10" spans="1:1">
      <c r="A10" s="56" t="s">
        <v>55</v>
      </c>
    </row>
    <row r="11" spans="1:1">
      <c r="A11" s="56" t="s">
        <v>56</v>
      </c>
    </row>
    <row r="12" spans="1:1">
      <c r="A12" s="56" t="s">
        <v>57</v>
      </c>
    </row>
    <row r="13" spans="1:1">
      <c r="A13" s="56" t="s">
        <v>58</v>
      </c>
    </row>
    <row r="14" spans="1:1">
      <c r="A14" s="56" t="s">
        <v>59</v>
      </c>
    </row>
    <row r="15" spans="1:1">
      <c r="A15" s="56" t="s">
        <v>60</v>
      </c>
    </row>
    <row r="16" spans="1:1">
      <c r="A16" s="56" t="s">
        <v>61</v>
      </c>
    </row>
    <row r="17" spans="1:1">
      <c r="A17" s="56" t="s">
        <v>62</v>
      </c>
    </row>
    <row r="18" spans="1:1">
      <c r="A18" s="56" t="s">
        <v>63</v>
      </c>
    </row>
    <row r="19" spans="1:1">
      <c r="A19" s="56" t="s">
        <v>64</v>
      </c>
    </row>
    <row r="20" spans="1:1">
      <c r="A20" s="56" t="s">
        <v>65</v>
      </c>
    </row>
    <row r="21" spans="1:1">
      <c r="A21" s="56" t="s">
        <v>66</v>
      </c>
    </row>
    <row r="22" spans="1:1">
      <c r="A22" s="56" t="s">
        <v>67</v>
      </c>
    </row>
    <row r="23" spans="1:1">
      <c r="A23" s="56" t="s">
        <v>68</v>
      </c>
    </row>
    <row r="24" spans="1:1">
      <c r="A24" s="56" t="s">
        <v>69</v>
      </c>
    </row>
    <row r="25" spans="1:1">
      <c r="A25" s="56" t="s">
        <v>70</v>
      </c>
    </row>
    <row r="26" spans="1:1">
      <c r="A26" s="56" t="s">
        <v>71</v>
      </c>
    </row>
    <row r="27" spans="1:1">
      <c r="A27" s="56" t="s">
        <v>72</v>
      </c>
    </row>
    <row r="28" spans="1:1">
      <c r="A28" s="56" t="s">
        <v>73</v>
      </c>
    </row>
    <row r="29" spans="1:1">
      <c r="A29" s="56" t="s">
        <v>95</v>
      </c>
    </row>
    <row r="30" spans="1:1">
      <c r="A30" s="56" t="s">
        <v>88</v>
      </c>
    </row>
    <row r="31" spans="1:1">
      <c r="A31" s="56" t="s">
        <v>74</v>
      </c>
    </row>
    <row r="32" spans="1:1">
      <c r="A32" s="56" t="s">
        <v>98</v>
      </c>
    </row>
    <row r="33" spans="1:1">
      <c r="A33" s="56" t="s">
        <v>91</v>
      </c>
    </row>
    <row r="34" spans="1:1">
      <c r="A34" s="56" t="s">
        <v>75</v>
      </c>
    </row>
    <row r="35" spans="1:1">
      <c r="A35" s="56" t="s">
        <v>76</v>
      </c>
    </row>
    <row r="36" spans="1:1">
      <c r="A36" s="56" t="s">
        <v>93</v>
      </c>
    </row>
    <row r="37" spans="1:1">
      <c r="A37" s="56" t="s">
        <v>84</v>
      </c>
    </row>
    <row r="38" spans="1:1">
      <c r="A38" s="56" t="s">
        <v>77</v>
      </c>
    </row>
    <row r="39" spans="1:1">
      <c r="A39" s="56" t="s">
        <v>78</v>
      </c>
    </row>
    <row r="40" spans="1:1">
      <c r="A40" s="56" t="s">
        <v>79</v>
      </c>
    </row>
    <row r="41" spans="1:1">
      <c r="A41" s="56" t="s">
        <v>80</v>
      </c>
    </row>
    <row r="42" spans="1:1">
      <c r="A42" s="56" t="s">
        <v>81</v>
      </c>
    </row>
    <row r="43" spans="1:1">
      <c r="A43" s="56" t="s">
        <v>92</v>
      </c>
    </row>
    <row r="44" spans="1:1">
      <c r="A44" s="56" t="s">
        <v>97</v>
      </c>
    </row>
    <row r="45" spans="1:1">
      <c r="A45" s="56" t="s">
        <v>96</v>
      </c>
    </row>
    <row r="46" spans="1:1">
      <c r="A46" s="56" t="s">
        <v>82</v>
      </c>
    </row>
    <row r="47" spans="1:1">
      <c r="A47" s="56" t="s">
        <v>83</v>
      </c>
    </row>
    <row r="48" spans="1:1">
      <c r="A48" s="56"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Goodell, Jeremey B</DisplayName>
        <AccountId>23</AccountId>
        <AccountType/>
      </UserInfo>
    </SharedWithUsers>
  </documentManagement>
</p:properties>
</file>

<file path=customXml/itemProps1.xml><?xml version="1.0" encoding="utf-8"?>
<ds:datastoreItem xmlns:ds="http://schemas.openxmlformats.org/officeDocument/2006/customXml" ds:itemID="{852E828A-87EE-44BB-9E00-CFD1997746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F6B372-18E4-41EE-9E74-338E4C0A202B}">
  <ds:schemaRefs>
    <ds:schemaRef ds:uri="http://schemas.microsoft.com/sharepoint/v3/contenttype/forms"/>
  </ds:schemaRefs>
</ds:datastoreItem>
</file>

<file path=customXml/itemProps3.xml><?xml version="1.0" encoding="utf-8"?>
<ds:datastoreItem xmlns:ds="http://schemas.openxmlformats.org/officeDocument/2006/customXml" ds:itemID="{595DCADE-D563-49A3-A757-561C4518B877}">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fc47652f-73a8-48ef-be6c-b836aab274ca"/>
    <ds:schemaRef ds:uri="1ef09ff2-2e9d-4a2c-946b-e898d1cc0ee0"/>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Goodell, Jeremey B</cp:lastModifiedBy>
  <dcterms:created xsi:type="dcterms:W3CDTF">2019-07-09T14:54:24Z</dcterms:created>
  <dcterms:modified xsi:type="dcterms:W3CDTF">2020-03-03T19:10:15Z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