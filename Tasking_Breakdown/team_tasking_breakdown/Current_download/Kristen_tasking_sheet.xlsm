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430" codeName="{2109D909-C6D8-E34B-4C66-09127ED2DC46}"/>
  <workbookPr codeName="ThisWorkbook"/>
  <mc:AlternateContent xmlns:mc="http://schemas.openxmlformats.org/markup-compatibility/2006">
    <mc:Choice Requires="x15">
      <x15ac:absPath xmlns:x15ac="http://schemas.microsoft.com/office/spreadsheetml/2010/11/ac" url="https://doimspp.sharepoint.com/sites/BLMSprintTeam/Shared Documents/Shared Files/Team Tasking Breakdown/"/>
    </mc:Choice>
  </mc:AlternateContent>
  <xr:revisionPtr revIDLastSave="308" documentId="13_ncr:1_{DF332808-81C4-4628-AF6A-4FBDA08BA019}" xr6:coauthVersionLast="45" xr6:coauthVersionMax="45" xr10:uidLastSave="{18DC9A8F-57EE-4BC9-8F62-BACF8C991C85}"/>
  <bookViews>
    <workbookView xWindow="28680" yWindow="-120" windowWidth="29040" windowHeight="15840" xr2:uid="{00000000-000D-0000-FFFF-FFFF00000000}"/>
  </bookViews>
  <sheets>
    <sheet name="TaskingSheet" sheetId="1" r:id="rId1"/>
    <sheet name="Archive" sheetId="2" r:id="rId2"/>
    <sheet name="Sheet3" sheetId="3" state="hidden" r:id="rId3"/>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7" i="1" l="1"/>
  <c r="AQ7" i="1" l="1" a="1"/>
  <c r="AQ7" i="1" s="1"/>
  <c r="AL7" i="1"/>
  <c r="AK7" i="1"/>
  <c r="A7" i="1"/>
  <c r="F6" i="1" a="1"/>
  <c r="AG6" i="1" s="1"/>
  <c r="F5" i="1" a="1"/>
  <c r="AG5" i="1" s="1"/>
  <c r="F4" i="1" a="1"/>
  <c r="AH4" i="1" s="1"/>
  <c r="B4" i="1" a="1"/>
  <c r="B4" i="1" s="1"/>
  <c r="V8" i="1"/>
  <c r="P8" i="1"/>
  <c r="O8" i="1"/>
  <c r="AH8" i="1"/>
  <c r="Q8" i="1"/>
  <c r="T8" i="1"/>
  <c r="AC8" i="1"/>
  <c r="F8" i="1"/>
  <c r="G8" i="1"/>
  <c r="AE8" i="1"/>
  <c r="W8" i="1"/>
  <c r="H8" i="1"/>
  <c r="L8" i="1"/>
  <c r="Y8" i="1"/>
  <c r="AA8" i="1"/>
  <c r="M8" i="1"/>
  <c r="U8" i="1"/>
  <c r="AJ8" i="1"/>
  <c r="I8" i="1"/>
  <c r="AI8" i="1"/>
  <c r="J8" i="1"/>
  <c r="AG8" i="1"/>
  <c r="AD8" i="1"/>
  <c r="X8" i="1"/>
  <c r="N8" i="1"/>
  <c r="R8" i="1"/>
  <c r="AB8" i="1"/>
  <c r="AK8" i="1"/>
  <c r="K8" i="1"/>
  <c r="AF8" i="1"/>
  <c r="S8" i="1"/>
  <c r="Z8" i="1"/>
  <c r="AO7" i="1" l="1" a="1"/>
  <c r="AO7" i="1" s="1"/>
  <c r="B2" i="1" a="1"/>
  <c r="B2" i="1" s="1"/>
  <c r="AP7" i="1"/>
  <c r="B3" i="1"/>
  <c r="A1" i="1"/>
  <c r="AS7" i="1"/>
  <c r="B5" i="1"/>
  <c r="F4" i="1"/>
  <c r="U4" i="1"/>
  <c r="K4" i="1"/>
  <c r="S4" i="1"/>
  <c r="AA4" i="1"/>
  <c r="AI4" i="1"/>
  <c r="J5" i="1"/>
  <c r="R5" i="1"/>
  <c r="Z5" i="1"/>
  <c r="AH5" i="1"/>
  <c r="J6" i="1"/>
  <c r="R6" i="1"/>
  <c r="Z6" i="1"/>
  <c r="AH6" i="1"/>
  <c r="L4" i="1"/>
  <c r="T4" i="1"/>
  <c r="AB4" i="1"/>
  <c r="AJ4" i="1"/>
  <c r="K5" i="1"/>
  <c r="S5" i="1"/>
  <c r="AA5" i="1"/>
  <c r="AI5" i="1"/>
  <c r="K6" i="1"/>
  <c r="S6" i="1"/>
  <c r="AA6" i="1"/>
  <c r="AI6" i="1"/>
  <c r="M4" i="1"/>
  <c r="L5" i="1"/>
  <c r="T5" i="1"/>
  <c r="AB5" i="1"/>
  <c r="L6" i="1"/>
  <c r="T6" i="1"/>
  <c r="AB6" i="1"/>
  <c r="AJ6" i="1"/>
  <c r="N4" i="1"/>
  <c r="V4" i="1"/>
  <c r="AD4" i="1"/>
  <c r="F5" i="1"/>
  <c r="M5" i="1"/>
  <c r="U5" i="1"/>
  <c r="AC5" i="1"/>
  <c r="F6" i="1"/>
  <c r="M6" i="1"/>
  <c r="U6" i="1"/>
  <c r="AC6" i="1"/>
  <c r="N5" i="1"/>
  <c r="V5" i="1"/>
  <c r="AD5" i="1"/>
  <c r="AC4" i="1"/>
  <c r="AJ5" i="1"/>
  <c r="G4" i="1"/>
  <c r="O4" i="1"/>
  <c r="W4" i="1"/>
  <c r="AE4" i="1"/>
  <c r="H4" i="1"/>
  <c r="P4" i="1"/>
  <c r="X4" i="1"/>
  <c r="AF4" i="1"/>
  <c r="G5" i="1"/>
  <c r="O5" i="1"/>
  <c r="W5" i="1"/>
  <c r="AE5" i="1"/>
  <c r="G6" i="1"/>
  <c r="O6" i="1"/>
  <c r="W6" i="1"/>
  <c r="AE6" i="1"/>
  <c r="I4" i="1"/>
  <c r="Q4" i="1"/>
  <c r="Y4" i="1"/>
  <c r="AG4" i="1"/>
  <c r="H5" i="1"/>
  <c r="P5" i="1"/>
  <c r="X5" i="1"/>
  <c r="AF5" i="1"/>
  <c r="H6" i="1"/>
  <c r="P6" i="1"/>
  <c r="X6" i="1"/>
  <c r="AF6" i="1"/>
  <c r="N6" i="1"/>
  <c r="V6" i="1"/>
  <c r="AD6" i="1"/>
  <c r="J4" i="1"/>
  <c r="R4" i="1"/>
  <c r="Z4" i="1"/>
  <c r="I5" i="1"/>
  <c r="Q5" i="1"/>
  <c r="Y5" i="1"/>
  <c r="I6" i="1"/>
  <c r="Q6" i="1"/>
  <c r="Y6" i="1"/>
  <c r="D5" i="1" l="1"/>
  <c r="AU7" i="1" s="1"/>
  <c r="AJ1" i="1"/>
  <c r="AH1" i="1"/>
  <c r="AI1" i="1"/>
  <c r="D3" i="1" l="1"/>
  <c r="D2" i="1"/>
  <c r="AT7"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<sst xmlns="http://schemas.openxmlformats.org/spreadsheetml/2006/main" count="237" uniqueCount="122">
  <si>
    <t>Month#</t>
  </si>
  <si>
    <t>Year#</t>
  </si>
  <si>
    <t>Month</t>
  </si>
  <si>
    <t>Month_Year#</t>
  </si>
  <si>
    <t>Task</t>
  </si>
  <si>
    <t>DD1</t>
  </si>
  <si>
    <t>DD2</t>
  </si>
  <si>
    <t>DD3</t>
  </si>
  <si>
    <t>DD4</t>
  </si>
  <si>
    <t>DD5</t>
  </si>
  <si>
    <t>DD6</t>
  </si>
  <si>
    <t>DD7</t>
  </si>
  <si>
    <t>DD8</t>
  </si>
  <si>
    <t>DD9</t>
  </si>
  <si>
    <t>DD10</t>
  </si>
  <si>
    <t>DD11</t>
  </si>
  <si>
    <t>DD12</t>
  </si>
  <si>
    <t>DD13</t>
  </si>
  <si>
    <t>DD14</t>
  </si>
  <si>
    <t>DD15</t>
  </si>
  <si>
    <t>DD16</t>
  </si>
  <si>
    <t>DD17</t>
  </si>
  <si>
    <t>DD18</t>
  </si>
  <si>
    <t>DD19</t>
  </si>
  <si>
    <t>DD20</t>
  </si>
  <si>
    <t>DD21</t>
  </si>
  <si>
    <t>DD22</t>
  </si>
  <si>
    <t>DD23</t>
  </si>
  <si>
    <t>DD24</t>
  </si>
  <si>
    <t>DD25</t>
  </si>
  <si>
    <t>DD26</t>
  </si>
  <si>
    <t>DD27</t>
  </si>
  <si>
    <t>DD28</t>
  </si>
  <si>
    <t>DD29</t>
  </si>
  <si>
    <t>DD30</t>
  </si>
  <si>
    <t>NOC_Total:</t>
  </si>
  <si>
    <t>DD31</t>
  </si>
  <si>
    <t>Total</t>
  </si>
  <si>
    <t>Task_Duplicate</t>
  </si>
  <si>
    <t>Name</t>
  </si>
  <si>
    <t>Comments</t>
  </si>
  <si>
    <t>State_Total:</t>
  </si>
  <si>
    <t>NonBill_Total:</t>
  </si>
  <si>
    <t>Purposely_Blank</t>
  </si>
  <si>
    <t>Total_Hours:</t>
  </si>
  <si>
    <t>%NOC:</t>
  </si>
  <si>
    <t>%State:</t>
  </si>
  <si>
    <t>TimeStamp_Submission</t>
  </si>
  <si>
    <t>not blank</t>
  </si>
  <si>
    <t>Manual Backup</t>
  </si>
  <si>
    <t>NOC Misc</t>
  </si>
  <si>
    <t>NOC Training</t>
  </si>
  <si>
    <t>NOC Knowledge Transfer</t>
  </si>
  <si>
    <t>NOC ACEC</t>
  </si>
  <si>
    <t>NOC ADMU</t>
  </si>
  <si>
    <t>NOC CRM</t>
  </si>
  <si>
    <t>NOC FPER</t>
  </si>
  <si>
    <t>NOC GRA</t>
  </si>
  <si>
    <t>NOC GTLF</t>
  </si>
  <si>
    <t>NOC LUPA</t>
  </si>
  <si>
    <t>NOC NLCS</t>
  </si>
  <si>
    <t>NOC PLSS</t>
  </si>
  <si>
    <t>NOC RECS</t>
  </si>
  <si>
    <t>NOC RUDD</t>
  </si>
  <si>
    <t>NOC SIGNS</t>
  </si>
  <si>
    <t>NOC SMA</t>
  </si>
  <si>
    <t>NOC SSME</t>
  </si>
  <si>
    <t>NOC TMAP</t>
  </si>
  <si>
    <t>NOC VMAP</t>
  </si>
  <si>
    <t>NOC VRI</t>
  </si>
  <si>
    <t>NOC VTRT</t>
  </si>
  <si>
    <t>NOC WHB</t>
  </si>
  <si>
    <t>NOC Travel</t>
  </si>
  <si>
    <t>NOC Security Clearance</t>
  </si>
  <si>
    <t>STATE Data Analysis</t>
  </si>
  <si>
    <t>STATE Data Editing</t>
  </si>
  <si>
    <t>STATE Data Collection</t>
  </si>
  <si>
    <t>STATE Knowledge Transfer</t>
  </si>
  <si>
    <t>STATE Mapping</t>
  </si>
  <si>
    <t>STATE Meetings</t>
  </si>
  <si>
    <t>STATE Training</t>
  </si>
  <si>
    <t>STATE Travel</t>
  </si>
  <si>
    <t>NON BILL Company Overhead</t>
  </si>
  <si>
    <t>NON BILL PTO/Holiday</t>
  </si>
  <si>
    <t>STATE VRM</t>
  </si>
  <si>
    <t>NOC QAQC</t>
  </si>
  <si>
    <t>NOC AGOL</t>
  </si>
  <si>
    <t>NOC Scripting</t>
  </si>
  <si>
    <t>IPR</t>
  </si>
  <si>
    <t>Other</t>
  </si>
  <si>
    <t>Total_Worked_Hours:</t>
  </si>
  <si>
    <t>STATE Raster Processing/Management</t>
  </si>
  <si>
    <t>STATE LWC</t>
  </si>
  <si>
    <t>STATE SMA</t>
  </si>
  <si>
    <t>January</t>
  </si>
  <si>
    <t>Tasking Breakdown</t>
  </si>
  <si>
    <t>Metadata</t>
  </si>
  <si>
    <t>Testing/Workflow</t>
  </si>
  <si>
    <t>STATE Land Disposal</t>
  </si>
  <si>
    <t>Kristen_Cox</t>
  </si>
  <si>
    <t>1/1- holiday 1/13- sick</t>
  </si>
  <si>
    <t>staff meeting</t>
  </si>
  <si>
    <t>1/1-1/9- update dashboard and troubleshoot problems</t>
  </si>
  <si>
    <t>1/21-1/22- gather, project, and check renewable energy data</t>
  </si>
  <si>
    <t>1/27- MIM</t>
  </si>
  <si>
    <t>huddle, update agendas, OY kickoff 1/28- chat with nick, check emails and gther weeklky information</t>
  </si>
  <si>
    <t>a</t>
  </si>
  <si>
    <t>1/1-1/17- attribute transfer tool for middle gila, discuss GTLF fields with Yuma 1/21-1/22- update middle gila attributes, discuss with zach- middle gila and LCNCA 1/28- middle gila attributes on BOR land, do translation and create matrix 1/29- compile middle gila issues, la posa attribution for new fields and uncover more errors!, review LCNCA assets</t>
  </si>
  <si>
    <t>January_2020</t>
  </si>
  <si>
    <t>February</t>
  </si>
  <si>
    <t>2/11- orient Rachel</t>
  </si>
  <si>
    <t>2/11- introduce to new TTM</t>
  </si>
  <si>
    <t>NOC Meetings</t>
  </si>
  <si>
    <t>2/12- Travel to/from Tucson</t>
  </si>
  <si>
    <t>2/26- MIM</t>
  </si>
  <si>
    <t>2/26- create GTLF layerfile and update templates</t>
  </si>
  <si>
    <t>2/11- catch up on emails and move desks 2/25- catch up on emails and communication 2/26- huddle, chat with alistair, nick 1:1</t>
  </si>
  <si>
    <t>2/26- chat with alec/rachel/nick about qaqc</t>
  </si>
  <si>
    <t>2/25- discuss with Rachel so she can lead on this 2/26- review qaqc errors</t>
  </si>
  <si>
    <t xml:space="preserve">2/11- trails meeting and update new TTM lead 2/12- review attributes for Middle Gila, IFNM, LCNCA  2/18- sfo meeting and attribution updates and trails discussion 2/19- update attribution for LCNCA, IFNM, Middle Gila. Send email to SFO, trails discussion meetings 2/25- correct qaqc errors and check up on recent changes 2/26- set up meeting and write emails regarding changes and edits. </t>
  </si>
  <si>
    <t>2/18- staff meeting</t>
  </si>
  <si>
    <t>February_2020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</si>
</sst>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
    <numFmt numFmtId="165" formatCode=";;;"/>
    <numFmt numFmtId="166" formatCode="m/d/yyyy\ h:mm:ss"/>
    <numFmt numFmtId="167" formatCode="ddd"/>
    <numFmt numFmtId="168" formatCode="dd"/>
    <numFmt numFmtId="169" formatCode="\Ch\a\r\a\c\te\r"/>
    <numFmt numFmtId="170" formatCode="m/d/yy\ h:mm;@"/>
  </numFmts>
  <fonts count="10">
    <font>
      <sz val="10"/>
      <color rgb="FF000000"/>
      <name val="Arial"/>
    </font>
    <font>
      <sz val="10"/>
      <name val="Arial"/>
    </font>
    <font>
      <b/>
      <sz val="12"/>
      <name val="Arial"/>
    </font>
    <font>
      <b/>
      <sz val="10"/>
      <name val="Arial"/>
    </font>
    <font>
      <sz val="11"/>
      <color rgb="FF000000"/>
      <name val="Inconsolata"/>
    </font>
    <font>
      <b/>
      <sz val="11"/>
      <color rgb="FF000000"/>
      <name val="Calibri"/>
    </font>
    <font>
      <sz val="11"/>
      <color rgb="FF000000"/>
      <name val="Calibri"/>
    </font>
    <font>
      <sz val="10"/>
      <color rgb="FF000000"/>
      <name val="Arial"/>
      <family val="2"/>
    </font>
    <font>
      <b/>
      <sz val="10"/>
      <name val="Arial"/>
      <family val="2"/>
    </font>
    <font>
      <sz val="10"/>
      <name val="Arial"/>
      <family val="2"/>
    </font>
  </fonts>
  <fills count="10">
    <fill>
      <patternFill patternType="none"/>
    </fill>
    <fill>
      <patternFill patternType="gray125"/>
    </fill>
    <fill>
      <patternFill patternType="solid">
        <fgColor rgb="FFFFFF00"/>
        <bgColor rgb="FFFFFF00"/>
      </patternFill>
    </fill>
    <fill>
      <patternFill patternType="solid">
        <fgColor rgb="FFF9CB9C"/>
        <bgColor rgb="FFF9CB9C"/>
      </patternFill>
    </fill>
    <fill>
      <patternFill patternType="solid">
        <fgColor rgb="FF000000"/>
        <bgColor rgb="FF000000"/>
      </patternFill>
    </fill>
    <fill>
      <patternFill patternType="solid">
        <fgColor rgb="FFD9D9D9"/>
        <bgColor rgb="FFD9D9D9"/>
      </patternFill>
    </fill>
    <fill>
      <patternFill patternType="solid">
        <fgColor rgb="FFD9EAD3"/>
        <bgColor rgb="FFD9EAD3"/>
      </patternFill>
    </fill>
    <fill>
      <patternFill patternType="solid">
        <fgColor rgb="FFB4C6E7"/>
        <bgColor rgb="FFB4C6E7"/>
      </patternFill>
    </fill>
    <fill>
      <patternFill patternType="solid">
        <fgColor theme="2" tint="-9.9978637043366805E-2"/>
        <bgColor indexed="64"/>
      </patternFill>
    </fill>
    <fill>
      <patternFill patternType="solid">
        <fgColor theme="1"/>
        <bgColor indexed="64"/>
      </patternFill>
    </fill>
  </fills>
  <borders count="12">
    <border>
      <left/>
      <right/>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style="thin">
        <color indexed="64"/>
      </right>
      <top style="thin">
        <color rgb="FF000000"/>
      </top>
      <bottom/>
      <diagonal/>
    </border>
    <border>
      <left style="thin">
        <color rgb="FF000000"/>
      </left>
      <right style="thin">
        <color indexed="64"/>
      </right>
      <top/>
      <bottom style="thin">
        <color rgb="FF000000"/>
      </bottom>
      <diagonal/>
    </border>
    <border>
      <left style="thin">
        <color indexed="64"/>
      </left>
      <right style="thin">
        <color indexed="64"/>
      </right>
      <top style="thin">
        <color rgb="FF000000"/>
      </top>
      <bottom/>
      <diagonal/>
    </border>
    <border>
      <left style="thin">
        <color indexed="64"/>
      </left>
      <right style="thin">
        <color indexed="64"/>
      </right>
      <top/>
      <bottom style="thin">
        <color rgb="FF000000"/>
      </bottom>
      <diagonal/>
    </border>
  </borders>
  <cellStyleXfs count="2">
    <xf numFmtId="0" fontId="0" fillId="0" borderId="0"/>
    <xf numFmtId="0" fontId="7" fillId="0" borderId="0"/>
  </cellStyleXfs>
  <cellXfs count="60">
    <xf numFmtId="0" fontId="0" fillId="0" borderId="0" xfId="0" applyFont="1" applyAlignment="1"/>
    <xf numFmtId="164" fontId="1" fillId="2" borderId="1" xfId="0" applyNumberFormat="1" applyFont="1" applyFill="1" applyBorder="1" applyAlignment="1"/>
    <xf numFmtId="0" fontId="1" fillId="0" borderId="2" xfId="0" applyFont="1" applyBorder="1" applyAlignment="1"/>
    <xf numFmtId="0" fontId="1" fillId="0" borderId="0" xfId="0" applyFont="1" applyAlignment="1"/>
    <xf numFmtId="0" fontId="1" fillId="3" borderId="0" xfId="0" applyFont="1" applyFill="1" applyAlignment="1"/>
    <xf numFmtId="165" fontId="1" fillId="4" borderId="0" xfId="0" applyNumberFormat="1" applyFont="1" applyFill="1" applyAlignment="1"/>
    <xf numFmtId="166" fontId="1" fillId="0" borderId="0" xfId="0" applyNumberFormat="1" applyFont="1" applyAlignment="1"/>
    <xf numFmtId="0" fontId="2" fillId="0" borderId="0" xfId="0" applyFont="1" applyAlignment="1"/>
    <xf numFmtId="0" fontId="3" fillId="5" borderId="3" xfId="0" applyFont="1" applyFill="1" applyBorder="1" applyAlignment="1"/>
    <xf numFmtId="0" fontId="2" fillId="0" borderId="0" xfId="0" applyFont="1" applyAlignment="1"/>
    <xf numFmtId="0" fontId="1" fillId="5" borderId="0" xfId="0" applyFont="1" applyFill="1" applyAlignment="1">
      <alignment horizontal="right"/>
    </xf>
    <xf numFmtId="0" fontId="3" fillId="5" borderId="0" xfId="0" applyFont="1" applyFill="1" applyAlignment="1"/>
    <xf numFmtId="0" fontId="1" fillId="5" borderId="4" xfId="0" applyFont="1" applyFill="1" applyBorder="1" applyAlignment="1"/>
    <xf numFmtId="0" fontId="1" fillId="5" borderId="0" xfId="0" applyFont="1" applyFill="1" applyAlignment="1"/>
    <xf numFmtId="165" fontId="1" fillId="6" borderId="2" xfId="0" applyNumberFormat="1" applyFont="1" applyFill="1" applyBorder="1" applyAlignment="1"/>
    <xf numFmtId="0" fontId="1" fillId="3" borderId="2" xfId="0" applyFont="1" applyFill="1" applyBorder="1" applyAlignment="1"/>
    <xf numFmtId="0" fontId="3" fillId="5" borderId="5" xfId="0" applyFont="1" applyFill="1" applyBorder="1" applyAlignment="1"/>
    <xf numFmtId="0" fontId="4" fillId="5" borderId="2" xfId="0" applyFont="1" applyFill="1" applyBorder="1" applyAlignment="1">
      <alignment horizontal="right"/>
    </xf>
    <xf numFmtId="0" fontId="1" fillId="5" borderId="6" xfId="0" applyFont="1" applyFill="1" applyBorder="1" applyAlignment="1"/>
    <xf numFmtId="167" fontId="3" fillId="7" borderId="4" xfId="0" applyNumberFormat="1" applyFont="1" applyFill="1" applyBorder="1" applyAlignment="1">
      <alignment horizontal="center" textRotation="90"/>
    </xf>
    <xf numFmtId="0" fontId="1" fillId="4" borderId="6" xfId="0" applyFont="1" applyFill="1" applyBorder="1" applyAlignment="1"/>
    <xf numFmtId="0" fontId="1" fillId="4" borderId="0" xfId="0" applyFont="1" applyFill="1" applyAlignment="1"/>
    <xf numFmtId="0" fontId="1" fillId="4" borderId="2" xfId="0" applyFont="1" applyFill="1" applyBorder="1" applyAlignment="1"/>
    <xf numFmtId="166" fontId="1" fillId="4" borderId="2" xfId="0" applyNumberFormat="1" applyFont="1" applyFill="1" applyBorder="1" applyAlignment="1"/>
    <xf numFmtId="0" fontId="5" fillId="7" borderId="7" xfId="0" applyFont="1" applyFill="1" applyBorder="1" applyAlignment="1"/>
    <xf numFmtId="0" fontId="5" fillId="7" borderId="6" xfId="0" applyFont="1" applyFill="1" applyBorder="1" applyAlignment="1"/>
    <xf numFmtId="168" fontId="3" fillId="7" borderId="6" xfId="0" applyNumberFormat="1" applyFont="1" applyFill="1" applyBorder="1" applyAlignment="1">
      <alignment horizontal="right"/>
    </xf>
    <xf numFmtId="0" fontId="3" fillId="3" borderId="6" xfId="0" applyFont="1" applyFill="1" applyBorder="1" applyAlignment="1"/>
    <xf numFmtId="169" fontId="1" fillId="4" borderId="2" xfId="0" applyNumberFormat="1" applyFont="1" applyFill="1" applyBorder="1" applyAlignment="1"/>
    <xf numFmtId="0" fontId="3" fillId="0" borderId="6" xfId="0" applyFont="1" applyBorder="1" applyAlignment="1"/>
    <xf numFmtId="0" fontId="3" fillId="0" borderId="6" xfId="0" applyFont="1" applyBorder="1" applyAlignment="1"/>
    <xf numFmtId="0" fontId="3" fillId="5" borderId="6" xfId="0" applyFont="1" applyFill="1" applyBorder="1" applyAlignment="1"/>
    <xf numFmtId="166" fontId="3" fillId="5" borderId="6" xfId="0" applyNumberFormat="1" applyFont="1" applyFill="1" applyBorder="1" applyAlignment="1"/>
    <xf numFmtId="1" fontId="1" fillId="0" borderId="7" xfId="0" applyNumberFormat="1" applyFont="1" applyBorder="1" applyAlignment="1">
      <alignment horizontal="right"/>
    </xf>
    <xf numFmtId="1" fontId="1" fillId="0" borderId="6" xfId="0" applyNumberFormat="1" applyFont="1" applyBorder="1" applyAlignment="1">
      <alignment horizontal="right"/>
    </xf>
    <xf numFmtId="164" fontId="1" fillId="0" borderId="6" xfId="0" applyNumberFormat="1" applyFont="1" applyBorder="1" applyAlignment="1"/>
    <xf numFmtId="164" fontId="6" fillId="0" borderId="6" xfId="0" applyNumberFormat="1" applyFont="1" applyBorder="1" applyAlignment="1"/>
    <xf numFmtId="165" fontId="1" fillId="0" borderId="6" xfId="0" applyNumberFormat="1" applyFont="1" applyBorder="1" applyAlignment="1"/>
    <xf numFmtId="0" fontId="1" fillId="5" borderId="6" xfId="0" applyFont="1" applyFill="1" applyBorder="1" applyAlignment="1">
      <alignment horizontal="right"/>
    </xf>
    <xf numFmtId="0" fontId="4" fillId="5" borderId="6" xfId="0" applyFont="1" applyFill="1" applyBorder="1" applyAlignment="1">
      <alignment horizontal="right"/>
    </xf>
    <xf numFmtId="166" fontId="1" fillId="5" borderId="6" xfId="0" applyNumberFormat="1" applyFont="1" applyFill="1" applyBorder="1" applyAlignment="1"/>
    <xf numFmtId="165" fontId="1" fillId="0" borderId="0" xfId="0" applyNumberFormat="1" applyFont="1" applyAlignment="1"/>
    <xf numFmtId="0" fontId="1" fillId="0" borderId="4" xfId="0" applyFont="1" applyBorder="1" applyAlignment="1"/>
    <xf numFmtId="165" fontId="1" fillId="0" borderId="0" xfId="0" applyNumberFormat="1" applyFont="1" applyAlignment="1"/>
    <xf numFmtId="0" fontId="3" fillId="3" borderId="0" xfId="0" applyFont="1" applyFill="1" applyAlignment="1"/>
    <xf numFmtId="167" fontId="3" fillId="7" borderId="8" xfId="0" applyNumberFormat="1" applyFont="1" applyFill="1" applyBorder="1" applyAlignment="1">
      <alignment horizontal="center" textRotation="90"/>
    </xf>
    <xf numFmtId="168" fontId="3" fillId="7" borderId="9" xfId="0" applyNumberFormat="1" applyFont="1" applyFill="1" applyBorder="1" applyAlignment="1">
      <alignment horizontal="right"/>
    </xf>
    <xf numFmtId="167" fontId="3" fillId="7" borderId="10" xfId="0" applyNumberFormat="1" applyFont="1" applyFill="1" applyBorder="1" applyAlignment="1">
      <alignment horizontal="center" textRotation="90"/>
    </xf>
    <xf numFmtId="168" fontId="3" fillId="7" borderId="11" xfId="0" applyNumberFormat="1" applyFont="1" applyFill="1" applyBorder="1" applyAlignment="1">
      <alignment horizontal="right"/>
    </xf>
    <xf numFmtId="0" fontId="8" fillId="5" borderId="2" xfId="0" applyFont="1" applyFill="1" applyBorder="1" applyAlignment="1"/>
    <xf numFmtId="0" fontId="9" fillId="0" borderId="6" xfId="0" applyFont="1" applyBorder="1" applyAlignment="1"/>
    <xf numFmtId="0" fontId="1" fillId="8" borderId="6" xfId="0" applyFont="1" applyFill="1" applyBorder="1" applyAlignment="1"/>
    <xf numFmtId="170" fontId="2" fillId="0" borderId="0" xfId="0" applyNumberFormat="1" applyFont="1" applyAlignment="1"/>
    <xf numFmtId="170" fontId="0" fillId="0" borderId="0" xfId="0" applyNumberFormat="1" applyFont="1" applyAlignment="1"/>
    <xf numFmtId="0" fontId="1" fillId="9" borderId="2" xfId="0" applyFont="1" applyFill="1" applyBorder="1" applyAlignment="1"/>
    <xf numFmtId="0" fontId="1" fillId="9" borderId="0" xfId="0" applyFont="1" applyFill="1" applyAlignment="1"/>
    <xf numFmtId="0" fontId="7" fillId="0" borderId="0" xfId="1" applyFont="1" applyAlignment="1"/>
    <xf numFmtId="164" fontId="9" fillId="0" borderId="6" xfId="0" applyNumberFormat="1" applyFont="1" applyBorder="1" applyAlignment="1"/>
    <xf numFmtId="164" fontId="1" fillId="3" borderId="6" xfId="0" applyNumberFormat="1" applyFont="1" applyFill="1" applyBorder="1" applyAlignment="1">
      <alignment horizontal="right"/>
    </xf>
    <xf numFmtId="164" fontId="1" fillId="3" borderId="0" xfId="0" applyNumberFormat="1" applyFont="1" applyFill="1" applyAlignment="1"/>
  </cellXfs>
  <cellStyles count="2">
    <cellStyle name="Normal" xfId="0" builtinId="0"/>
    <cellStyle name="Normal 2" xfId="1" xr:uid="{BDDD17B1-19A3-474F-A5D8-69ED666FBF39}"/>
  </cellStyles>
  <dxfs count="10">
    <dxf>
      <font>
        <color rgb="FF9C0006"/>
      </font>
      <fill>
        <patternFill>
          <bgColor rgb="FFFFC7CE"/>
        </patternFill>
      </fill>
    </dxf>
    <dxf>
      <font>
        <color rgb="FF9C0006"/>
      </font>
      <fill>
        <patternFill>
          <bgColor rgb="FFFFC7CE"/>
        </patternFill>
      </fill>
    </dxf>
    <dxf>
      <fill>
        <patternFill>
          <bgColor theme="1"/>
        </patternFill>
      </fill>
    </dxf>
    <dxf>
      <fill>
        <patternFill>
          <bgColor theme="1"/>
        </patternFill>
      </fill>
    </dxf>
    <dxf>
      <fill>
        <patternFill>
          <bgColor theme="1"/>
        </patternFill>
      </fill>
    </dxf>
    <dxf>
      <fill>
        <patternFill patternType="solid">
          <fgColor rgb="FFFF00FF"/>
          <bgColor rgb="FFFF00FF"/>
        </patternFill>
      </fill>
    </dxf>
    <dxf>
      <fill>
        <patternFill patternType="solid">
          <fgColor rgb="FFFF00FF"/>
          <bgColor rgb="FFFF00FF"/>
        </patternFill>
      </fill>
    </dxf>
    <dxf>
      <fill>
        <patternFill patternType="solid">
          <fgColor rgb="FFB7B7B7"/>
          <bgColor rgb="FFB7B7B7"/>
        </patternFill>
      </fill>
    </dxf>
    <dxf>
      <fill>
        <patternFill patternType="solid">
          <fgColor rgb="FF000000"/>
          <bgColor rgb="FF000000"/>
        </patternFill>
      </fill>
    </dxf>
    <dxf>
      <fill>
        <patternFill patternType="solid">
          <fgColor rgb="FFD9EAD3"/>
          <bgColor rgb="FFD9EAD3"/>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3.xml"/><Relationship Id="rId5" Type="http://schemas.openxmlformats.org/officeDocument/2006/relationships/styles" Target="styles.xml"/><Relationship Id="rId10" Type="http://schemas.openxmlformats.org/officeDocument/2006/relationships/customXml" Target="../customXml/item2.xml"/><Relationship Id="rId4" Type="http://schemas.openxmlformats.org/officeDocument/2006/relationships/theme" Target="theme/theme1.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4</xdr:row>
          <xdr:rowOff>9525</xdr:rowOff>
        </xdr:from>
        <xdr:to>
          <xdr:col>4</xdr:col>
          <xdr:colOff>1266825</xdr:colOff>
          <xdr:row>4</xdr:row>
          <xdr:rowOff>361950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New Task Row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38</xdr:col>
          <xdr:colOff>38100</xdr:colOff>
          <xdr:row>2</xdr:row>
          <xdr:rowOff>9525</xdr:rowOff>
        </xdr:from>
        <xdr:to>
          <xdr:col>39</xdr:col>
          <xdr:colOff>228600</xdr:colOff>
          <xdr:row>3</xdr:row>
          <xdr:rowOff>171450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Submit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2</xdr:row>
          <xdr:rowOff>9525</xdr:rowOff>
        </xdr:from>
        <xdr:to>
          <xdr:col>46</xdr:col>
          <xdr:colOff>190500</xdr:colOff>
          <xdr:row>3</xdr:row>
          <xdr:rowOff>180975</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Reset Button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Below="0" summaryRight="0"/>
  </sheetPr>
  <dimension ref="A1:AW89"/>
  <sheetViews>
    <sheetView tabSelected="1" workbookViewId="0">
      <selection activeCell="B9" sqref="B9"/>
    </sheetView>
  </sheetViews>
  <sheetFormatPr defaultColWidth="0" defaultRowHeight="15.75" customHeight="1" zeroHeight="1"/>
  <cols>
    <col min="1" max="2" width="14.42578125" customWidth="1"/>
    <col min="3" max="3" width="20.5703125" bestFit="1" customWidth="1"/>
    <col min="4" max="4" width="14.42578125" customWidth="1"/>
    <col min="5" max="5" width="19.28515625" bestFit="1" customWidth="1"/>
    <col min="6" max="16" width="3.28515625" customWidth="1"/>
    <col min="17" max="17" width="4.5703125" bestFit="1" customWidth="1"/>
    <col min="18" max="33" width="3.28515625" customWidth="1"/>
    <col min="34" max="34" width="3.5703125" customWidth="1"/>
    <col min="35" max="36" width="3.28515625" customWidth="1"/>
    <col min="37" max="43" width="14.42578125" customWidth="1"/>
    <col min="44" max="44" width="14.42578125" hidden="1" customWidth="1"/>
    <col min="45" max="47" width="14.42578125" customWidth="1"/>
    <col min="48" max="48" width="23.28515625" hidden="1" customWidth="1"/>
    <col min="49" max="49" width="14.42578125" customWidth="1"/>
    <col min="50" max="16384" width="14.42578125" hidden="1"/>
  </cols>
  <sheetData>
    <row r="1" spans="1:48" ht="15.75" customHeight="1">
      <c r="A1" s="1" t="str">
        <f>D7</f>
        <v>_</v>
      </c>
      <c r="B1" s="2"/>
      <c r="C1" s="2"/>
      <c r="D1" s="2"/>
      <c r="E1" s="55"/>
      <c r="F1" s="3"/>
      <c r="G1" s="3"/>
      <c r="H1" s="3"/>
      <c r="I1" s="3"/>
      <c r="J1" s="3"/>
      <c r="K1" s="3"/>
      <c r="L1" s="3"/>
      <c r="M1" s="3"/>
      <c r="N1" s="3"/>
      <c r="O1" s="3"/>
      <c r="P1" s="3"/>
      <c r="Q1" s="3"/>
      <c r="R1" s="3"/>
      <c r="S1" s="3"/>
      <c r="T1" s="3"/>
      <c r="U1" s="3"/>
      <c r="V1" s="3"/>
      <c r="W1" s="3"/>
      <c r="X1" s="3"/>
      <c r="Y1" s="3"/>
      <c r="Z1" s="3"/>
      <c r="AA1" s="3"/>
      <c r="AB1" s="3"/>
      <c r="AC1" s="3"/>
      <c r="AD1" s="3"/>
      <c r="AE1" s="3"/>
      <c r="AF1" s="3"/>
      <c r="AG1" s="3"/>
      <c r="AH1" s="43" t="b">
        <f>MONTH(F6)=MONTH(AH6)</f>
        <v>1</v>
      </c>
      <c r="AI1" s="43" t="b">
        <f>MONTH(G6)=MONTH(AI6)</f>
        <v>1</v>
      </c>
      <c r="AJ1" s="43" t="b">
        <f>MONTH(H6)=MONTH(AJ6)</f>
        <v>1</v>
      </c>
      <c r="AK1" s="4"/>
      <c r="AL1" s="5"/>
      <c r="AM1" s="3"/>
      <c r="AN1" s="3"/>
      <c r="AO1" s="3"/>
      <c r="AP1" s="3"/>
      <c r="AQ1" s="3"/>
      <c r="AR1" s="3"/>
      <c r="AS1" s="3"/>
      <c r="AT1" s="3"/>
      <c r="AU1" s="3"/>
      <c r="AV1" s="6"/>
    </row>
    <row r="2" spans="1:48" ht="15.75" customHeight="1">
      <c r="A2" s="8" t="s">
        <v>35</v>
      </c>
      <c r="B2" s="10" cm="1">
        <f t="array" ref="B2">SUM(SUMIF(E:E, {"NOC Misc","NOC Meetings","NOC Scripting","NOC QAQC","NOC Training","NOC Knowledge Transfer","NOC ACEC","NOC ADMU","NOC CRM","NOC FPER","NOC GRA","NOC GTLF","NOC LUPA","NOC NLCS","NOC PLSS","NOC RECS","NOC RUDD","NOC SIGNS","NOC SMA","NOC SSME","NOC TMAP","NOC VMAP","NOC VRI","NOC VTRT","NOC WHB","NOC Travel","NOC Security Clearance","NOC AGOL","Tasking Breakdown","IPR","Metadata"}, AK:AK))</f>
        <v>0</v>
      </c>
      <c r="C2" s="11" t="s">
        <v>45</v>
      </c>
      <c r="D2" s="12" t="str">
        <f>IFERROR(B2/D5,"")</f>
        <v/>
      </c>
      <c r="E2" s="55"/>
      <c r="F2" s="3"/>
      <c r="G2" s="3"/>
      <c r="H2" s="3"/>
      <c r="I2" s="3"/>
      <c r="J2" s="3"/>
      <c r="K2" s="3"/>
      <c r="L2" s="3"/>
      <c r="M2" s="3"/>
      <c r="N2" s="3"/>
      <c r="O2" s="3"/>
      <c r="P2" s="3"/>
      <c r="Q2" s="3"/>
      <c r="R2" s="3"/>
      <c r="S2" s="3"/>
      <c r="T2" s="3"/>
      <c r="U2" s="3"/>
      <c r="V2" s="3"/>
      <c r="W2" s="3"/>
      <c r="X2" s="3"/>
      <c r="Y2" s="3"/>
      <c r="Z2" s="3"/>
      <c r="AA2" s="3"/>
      <c r="AB2" s="3"/>
      <c r="AC2" s="3"/>
      <c r="AD2" s="3"/>
      <c r="AE2" s="3"/>
      <c r="AF2" s="3"/>
      <c r="AG2" s="3"/>
      <c r="AH2" s="3"/>
      <c r="AI2" s="3"/>
      <c r="AJ2" s="3"/>
      <c r="AK2" s="4"/>
      <c r="AL2" s="5"/>
      <c r="AM2" s="3"/>
      <c r="AN2" s="3"/>
      <c r="AO2" s="3"/>
      <c r="AP2" s="3"/>
      <c r="AQ2" s="3"/>
      <c r="AR2" s="3"/>
      <c r="AS2" s="3"/>
      <c r="AT2" s="3"/>
      <c r="AU2" s="3"/>
      <c r="AV2" s="6"/>
    </row>
    <row r="3" spans="1:48" ht="15.75" customHeight="1">
      <c r="A3" s="8" t="s">
        <v>41</v>
      </c>
      <c r="B3" s="10">
        <f>SUM(SUMIF(E:E, {"STATE Data Analysis","STATE Land Disposal","STATE Raster Processing/Management","STATE Data Editing","STATE Data Collection","STATE SMA","STATE Knowledge Transfer","STATE Mapping","STATE Meetings","STATE Training","STATE Travel","STATE VRM","STATE LWC","Testing/Workflow"}, AK:AK))</f>
        <v>0</v>
      </c>
      <c r="C3" s="11" t="s">
        <v>46</v>
      </c>
      <c r="D3" s="12" t="str">
        <f>IFERROR(B3/D5,"")</f>
        <v/>
      </c>
      <c r="E3" s="55"/>
      <c r="F3" s="3"/>
      <c r="G3" s="3"/>
      <c r="H3" s="3"/>
      <c r="I3" s="3"/>
      <c r="J3" s="3"/>
      <c r="K3" s="3"/>
      <c r="L3" s="3"/>
      <c r="M3" s="3"/>
      <c r="N3" s="3"/>
      <c r="O3" s="3"/>
      <c r="P3" s="3"/>
      <c r="Q3" s="3"/>
      <c r="R3" s="3"/>
      <c r="S3" s="3"/>
      <c r="T3" s="3"/>
      <c r="U3" s="3"/>
      <c r="V3" s="3"/>
      <c r="W3" s="3"/>
      <c r="X3" s="3"/>
      <c r="Y3" s="3"/>
      <c r="Z3" s="3"/>
      <c r="AA3" s="3"/>
      <c r="AB3" s="3"/>
      <c r="AC3" s="3"/>
      <c r="AD3" s="3"/>
      <c r="AE3" s="3"/>
      <c r="AF3" s="3"/>
      <c r="AG3" s="3"/>
      <c r="AH3" s="3"/>
      <c r="AI3" s="3"/>
      <c r="AJ3" s="3"/>
      <c r="AK3" s="4"/>
      <c r="AL3" s="5"/>
      <c r="AM3" s="3"/>
      <c r="AN3" s="3"/>
      <c r="AO3" s="3"/>
      <c r="AP3" s="3"/>
      <c r="AQ3" s="3"/>
      <c r="AR3" s="3"/>
      <c r="AS3" s="3"/>
      <c r="AT3" s="3"/>
      <c r="AU3" s="3"/>
      <c r="AV3" s="6"/>
    </row>
    <row r="4" spans="1:48" ht="15.75" customHeight="1">
      <c r="A4" s="8" t="s">
        <v>42</v>
      </c>
      <c r="B4" s="10">
        <f t="array" ref="B4">SUM(SUMIF(E:E, {"NON BILL Company Overhead","NON BILL PTO/Holiday"}, AK:AK))</f>
        <v>0</v>
      </c>
      <c r="C4" s="13"/>
      <c r="D4" s="12"/>
      <c r="E4" s="54"/>
      <c r="F4" s="14">
        <f t="array" ref="F4:AJ4">TRANSPOSE(DATE($B$7,MONTH(C7&amp;1),1)+TRANSPOSE(COLUMN($C$1:$AN$1)-3))</f>
        <v>1</v>
      </c>
      <c r="G4" s="14">
        <v>2</v>
      </c>
      <c r="H4" s="14">
        <v>3</v>
      </c>
      <c r="I4" s="14">
        <v>4</v>
      </c>
      <c r="J4" s="14">
        <v>5</v>
      </c>
      <c r="K4" s="14">
        <v>6</v>
      </c>
      <c r="L4" s="14">
        <v>7</v>
      </c>
      <c r="M4" s="14">
        <v>8</v>
      </c>
      <c r="N4" s="14">
        <v>9</v>
      </c>
      <c r="O4" s="14">
        <v>10</v>
      </c>
      <c r="P4" s="14">
        <v>11</v>
      </c>
      <c r="Q4" s="14">
        <v>12</v>
      </c>
      <c r="R4" s="14">
        <v>13</v>
      </c>
      <c r="S4" s="14">
        <v>14</v>
      </c>
      <c r="T4" s="14">
        <v>15</v>
      </c>
      <c r="U4" s="14">
        <v>16</v>
      </c>
      <c r="V4" s="14">
        <v>17</v>
      </c>
      <c r="W4" s="14">
        <v>18</v>
      </c>
      <c r="X4" s="14">
        <v>19</v>
      </c>
      <c r="Y4" s="14">
        <v>20</v>
      </c>
      <c r="Z4" s="14">
        <v>21</v>
      </c>
      <c r="AA4" s="14">
        <v>22</v>
      </c>
      <c r="AB4" s="14">
        <v>23</v>
      </c>
      <c r="AC4" s="14">
        <v>24</v>
      </c>
      <c r="AD4" s="14">
        <v>25</v>
      </c>
      <c r="AE4" s="14">
        <v>26</v>
      </c>
      <c r="AF4" s="14">
        <v>27</v>
      </c>
      <c r="AG4" s="14">
        <v>28</v>
      </c>
      <c r="AH4" s="14">
        <v>29</v>
      </c>
      <c r="AI4" s="14">
        <v>30</v>
      </c>
      <c r="AJ4" s="14">
        <v>31</v>
      </c>
      <c r="AK4" s="15"/>
      <c r="AL4" s="5"/>
      <c r="AM4" s="3"/>
      <c r="AN4" s="3"/>
      <c r="AO4" s="3"/>
      <c r="AP4" s="3"/>
      <c r="AQ4" s="3"/>
      <c r="AR4" s="3"/>
      <c r="AS4" s="3"/>
      <c r="AT4" s="3"/>
      <c r="AU4" s="3"/>
      <c r="AV4" s="6"/>
    </row>
    <row r="5" spans="1:48" ht="30" customHeight="1">
      <c r="A5" s="16" t="s">
        <v>44</v>
      </c>
      <c r="B5" s="17">
        <f ca="1">AK8</f>
        <v>0</v>
      </c>
      <c r="C5" s="49" t="s">
        <v>90</v>
      </c>
      <c r="D5" s="18">
        <f>B2+B3</f>
        <v>0</v>
      </c>
      <c r="E5" s="51"/>
      <c r="F5" s="45">
        <f t="array" ref="F5:AJ5">TRANSPOSE(DATE($B$7,MONTH(C7&amp;1),1)+TRANSPOSE(COLUMN($C$1:$AN$1)-3))</f>
        <v>1</v>
      </c>
      <c r="G5" s="47">
        <v>2</v>
      </c>
      <c r="H5" s="47">
        <v>3</v>
      </c>
      <c r="I5" s="47">
        <v>4</v>
      </c>
      <c r="J5" s="47">
        <v>5</v>
      </c>
      <c r="K5" s="47">
        <v>6</v>
      </c>
      <c r="L5" s="47">
        <v>7</v>
      </c>
      <c r="M5" s="47">
        <v>8</v>
      </c>
      <c r="N5" s="47">
        <v>9</v>
      </c>
      <c r="O5" s="47">
        <v>10</v>
      </c>
      <c r="P5" s="47">
        <v>11</v>
      </c>
      <c r="Q5" s="47">
        <v>12</v>
      </c>
      <c r="R5" s="47">
        <v>13</v>
      </c>
      <c r="S5" s="47">
        <v>14</v>
      </c>
      <c r="T5" s="47">
        <v>15</v>
      </c>
      <c r="U5" s="47">
        <v>16</v>
      </c>
      <c r="V5" s="47">
        <v>17</v>
      </c>
      <c r="W5" s="47">
        <v>18</v>
      </c>
      <c r="X5" s="47">
        <v>19</v>
      </c>
      <c r="Y5" s="47">
        <v>20</v>
      </c>
      <c r="Z5" s="47">
        <v>21</v>
      </c>
      <c r="AA5" s="47">
        <v>22</v>
      </c>
      <c r="AB5" s="47">
        <v>23</v>
      </c>
      <c r="AC5" s="47">
        <v>24</v>
      </c>
      <c r="AD5" s="47">
        <v>25</v>
      </c>
      <c r="AE5" s="47">
        <v>26</v>
      </c>
      <c r="AF5" s="47">
        <v>27</v>
      </c>
      <c r="AG5" s="47">
        <v>28</v>
      </c>
      <c r="AH5" s="47">
        <v>29</v>
      </c>
      <c r="AI5" s="47">
        <v>30</v>
      </c>
      <c r="AJ5" s="19">
        <v>31</v>
      </c>
      <c r="AK5" s="20"/>
      <c r="AL5" s="5"/>
      <c r="AM5" s="21"/>
      <c r="AN5" s="22"/>
      <c r="AO5" s="22"/>
      <c r="AP5" s="22"/>
      <c r="AQ5" s="22"/>
      <c r="AR5" s="22"/>
      <c r="AS5" s="22"/>
      <c r="AT5" s="22"/>
      <c r="AU5" s="22"/>
      <c r="AV5" s="23"/>
    </row>
    <row r="6" spans="1:48" ht="15">
      <c r="A6" s="24" t="s">
        <v>0</v>
      </c>
      <c r="B6" s="25" t="s">
        <v>1</v>
      </c>
      <c r="C6" s="25" t="s">
        <v>2</v>
      </c>
      <c r="D6" s="25" t="s">
        <v>3</v>
      </c>
      <c r="E6" s="25" t="s">
        <v>4</v>
      </c>
      <c r="F6" s="46">
        <f t="array" ref="F6:AJ6">TRANSPOSE(DATE($B$7,MONTH(C7&amp;1),1)+TRANSPOSE(COLUMN($C$1:$AN$1)-3))</f>
        <v>1</v>
      </c>
      <c r="G6" s="48">
        <v>2</v>
      </c>
      <c r="H6" s="48">
        <v>3</v>
      </c>
      <c r="I6" s="48">
        <v>4</v>
      </c>
      <c r="J6" s="48">
        <v>5</v>
      </c>
      <c r="K6" s="48">
        <v>6</v>
      </c>
      <c r="L6" s="48">
        <v>7</v>
      </c>
      <c r="M6" s="48">
        <v>8</v>
      </c>
      <c r="N6" s="48">
        <v>9</v>
      </c>
      <c r="O6" s="48">
        <v>10</v>
      </c>
      <c r="P6" s="48">
        <v>11</v>
      </c>
      <c r="Q6" s="48">
        <v>12</v>
      </c>
      <c r="R6" s="48">
        <v>13</v>
      </c>
      <c r="S6" s="48">
        <v>14</v>
      </c>
      <c r="T6" s="48">
        <v>15</v>
      </c>
      <c r="U6" s="48">
        <v>16</v>
      </c>
      <c r="V6" s="48">
        <v>17</v>
      </c>
      <c r="W6" s="48">
        <v>18</v>
      </c>
      <c r="X6" s="48">
        <v>19</v>
      </c>
      <c r="Y6" s="48">
        <v>20</v>
      </c>
      <c r="Z6" s="48">
        <v>21</v>
      </c>
      <c r="AA6" s="48">
        <v>22</v>
      </c>
      <c r="AB6" s="48">
        <v>23</v>
      </c>
      <c r="AC6" s="48">
        <v>24</v>
      </c>
      <c r="AD6" s="48">
        <v>25</v>
      </c>
      <c r="AE6" s="48">
        <v>26</v>
      </c>
      <c r="AF6" s="48">
        <v>27</v>
      </c>
      <c r="AG6" s="48">
        <v>28</v>
      </c>
      <c r="AH6" s="48">
        <v>29</v>
      </c>
      <c r="AI6" s="48">
        <v>30</v>
      </c>
      <c r="AJ6" s="26">
        <v>31</v>
      </c>
      <c r="AK6" s="27" t="s">
        <v>37</v>
      </c>
      <c r="AL6" s="28"/>
      <c r="AM6" s="29" t="s">
        <v>39</v>
      </c>
      <c r="AN6" s="30" t="s">
        <v>40</v>
      </c>
      <c r="AO6" s="31" t="s">
        <v>35</v>
      </c>
      <c r="AP6" s="31" t="s">
        <v>41</v>
      </c>
      <c r="AQ6" s="31" t="s">
        <v>42</v>
      </c>
      <c r="AR6" s="18"/>
      <c r="AS6" s="31" t="s">
        <v>44</v>
      </c>
      <c r="AT6" s="31" t="s">
        <v>45</v>
      </c>
      <c r="AU6" s="31" t="s">
        <v>46</v>
      </c>
      <c r="AV6" s="32" t="s">
        <v>47</v>
      </c>
    </row>
    <row r="7" spans="1:48" ht="15">
      <c r="A7" s="33" t="b">
        <f>IF(
C7 = "January",1,
IF(C7 = "February",2,
IF(C7 = "March",3,
IF(C7 = "April",4,
IF(C7 = "May",5,
IF(C7 = "June",6,
IF(C7 = "July",7,
IF(C7 = "August",8,
IF(C7 = "September",9,
IF(C7 = "October",10,
IF(C7 = "November",11,
IF(C7 = "December",12))))))))))))</f>
        <v>0</v>
      </c>
      <c r="B7" s="34"/>
      <c r="C7" s="35"/>
      <c r="D7" s="36" t="str">
        <f>C7&amp;"_"&amp;B7</f>
        <v>_</v>
      </c>
      <c r="E7" s="35"/>
      <c r="F7" s="35"/>
      <c r="G7" s="35"/>
      <c r="H7" s="35"/>
      <c r="I7" s="35"/>
      <c r="J7" s="35"/>
      <c r="K7" s="35"/>
      <c r="L7" s="35"/>
      <c r="M7" s="35"/>
      <c r="N7" s="35"/>
      <c r="O7" s="35"/>
      <c r="P7" s="35"/>
      <c r="Q7" s="35"/>
      <c r="R7" s="35"/>
      <c r="S7" s="35"/>
      <c r="T7" s="35"/>
      <c r="U7" s="35"/>
      <c r="V7" s="35"/>
      <c r="W7" s="35"/>
      <c r="X7" s="35"/>
      <c r="Y7" s="35"/>
      <c r="Z7" s="35"/>
      <c r="AA7" s="35"/>
      <c r="AB7" s="35"/>
      <c r="AC7" s="35"/>
      <c r="AD7" s="35"/>
      <c r="AE7" s="35"/>
      <c r="AF7" s="35"/>
      <c r="AG7" s="35"/>
      <c r="AH7" s="57"/>
      <c r="AI7" s="35"/>
      <c r="AJ7" s="35"/>
      <c r="AK7" s="58">
        <f t="shared" ref="AK7" si="0">SUM(F7:AJ7)</f>
        <v>0</v>
      </c>
      <c r="AL7" s="37">
        <f t="shared" ref="AL7" si="1">E7</f>
        <v>0</v>
      </c>
      <c r="AM7" s="50" t="s">
        <v>99</v>
      </c>
      <c r="AN7" s="50"/>
      <c r="AO7" s="38" cm="1">
        <f t="array" ref="AO7">SUM(SUMIF(E:E, {"NOC Misc","NOC Meetings","NOC Scripting","NOC QAQC","NOC Training","NOC Knowledge Transfer","NOC ACEC","NOC ADMU","NOC CRM","NOC FPER","NOC GRA","NOC GTLF","NOC LUPA","NOC NLCS","NOC PLSS","NOC RECS","NOC RUDD","NOC SIGNS","NOC SMA","NOC SSME","NOC TMAP","NOC VMAP","NOC VRI","NOC VTRT","NOC WHB","NOC Travel","NOC Security Clearance","NOC AGOL","Tasking Breakdown","IPR","Metadata"}, AK:AK))</f>
        <v>0</v>
      </c>
      <c r="AP7" s="38">
        <f>SUM(SUMIF(E:E, {"STATE Data Analysis","STATE Land Disposal","STATE Raster Processing/Management","STATE Data Editing","STATE Data Collection","STATE SMA","STATE Knowledge Transfer","STATE Mapping","STATE Meetings","STATE Training","STATE Travel","STATE VRM","STATE LWC","Testing/Workflow"}, AK:AK))</f>
        <v>0</v>
      </c>
      <c r="AQ7" s="38">
        <f t="array" ref="AQ7">SUM(SUMIF(E:E, {"NON BILL Company Overhead","NON BILL PTO/Holiday"}, AK:AK))</f>
        <v>0</v>
      </c>
      <c r="AR7" s="18"/>
      <c r="AS7" s="39">
        <f ca="1">AK8</f>
        <v>0</v>
      </c>
      <c r="AT7" s="38" t="str">
        <f>IFERROR(AO7/D5,"")</f>
        <v/>
      </c>
      <c r="AU7" s="38" t="str">
        <f>IFERROR(AP7/D5,"")</f>
        <v/>
      </c>
      <c r="AV7" s="40"/>
    </row>
    <row r="8" spans="1:48" ht="15.75" customHeight="1">
      <c r="A8" s="41" t="s">
        <v>48</v>
      </c>
      <c r="B8" s="3"/>
      <c r="C8" s="3"/>
      <c r="D8" s="42"/>
      <c r="E8" s="27" t="s">
        <v>37</v>
      </c>
      <c r="F8" s="58">
        <f ca="1">SUM(INDIRECT("F7:F"&amp;ROW()-1))</f>
        <v>0</v>
      </c>
      <c r="G8" s="58">
        <f ca="1">SUM(INDIRECT("G7:G"&amp;ROW()-1))</f>
        <v>0</v>
      </c>
      <c r="H8" s="58">
        <f ca="1">SUM(INDIRECT("H7:H"&amp;ROW()-1))</f>
        <v>0</v>
      </c>
      <c r="I8" s="58">
        <f ca="1">SUM(INDIRECT("I7:I"&amp;ROW()-1))</f>
        <v>0</v>
      </c>
      <c r="J8" s="58">
        <f ca="1">SUM(INDIRECT("J7:J"&amp;ROW()-1))</f>
        <v>0</v>
      </c>
      <c r="K8" s="58">
        <f ca="1">SUM(INDIRECT("K7:K"&amp;ROW()-1))</f>
        <v>0</v>
      </c>
      <c r="L8" s="58">
        <f ca="1">SUM(INDIRECT("L7:L"&amp;ROW()-1))</f>
        <v>0</v>
      </c>
      <c r="M8" s="58">
        <f ca="1">SUM(INDIRECT("M7:M"&amp;ROW()-1))</f>
        <v>0</v>
      </c>
      <c r="N8" s="58">
        <f ca="1">SUM(INDIRECT("N7:N"&amp;ROW()-1))</f>
        <v>0</v>
      </c>
      <c r="O8" s="58">
        <f ca="1">SUM(INDIRECT("O7:O"&amp;ROW()-1))</f>
        <v>0</v>
      </c>
      <c r="P8" s="58">
        <f ca="1">SUM(INDIRECT("P7:P"&amp;ROW()-1))</f>
        <v>0</v>
      </c>
      <c r="Q8" s="58">
        <f ca="1">SUM(INDIRECT("Q7:Q"&amp;ROW()-1))</f>
        <v>0</v>
      </c>
      <c r="R8" s="58">
        <f ca="1">SUM(INDIRECT("R7:R"&amp;ROW()-1))</f>
        <v>0</v>
      </c>
      <c r="S8" s="58">
        <f ca="1">SUM(INDIRECT("S7:S"&amp;ROW()-1))</f>
        <v>0</v>
      </c>
      <c r="T8" s="58">
        <f ca="1">SUM(INDIRECT("T7:T"&amp;ROW()-1))</f>
        <v>0</v>
      </c>
      <c r="U8" s="58">
        <f ca="1">SUM(INDIRECT("U7:U"&amp;ROW()-1))</f>
        <v>0</v>
      </c>
      <c r="V8" s="58">
        <f ca="1">SUM(INDIRECT("V7:V"&amp;ROW()-1))</f>
        <v>0</v>
      </c>
      <c r="W8" s="58">
        <f ca="1">SUM(INDIRECT("W7:W"&amp;ROW()-1))</f>
        <v>0</v>
      </c>
      <c r="X8" s="58">
        <f ca="1">SUM(INDIRECT("X7:X"&amp;ROW()-1))</f>
        <v>0</v>
      </c>
      <c r="Y8" s="58">
        <f ca="1">SUM(INDIRECT("Y7:Y"&amp;ROW()-1))</f>
        <v>0</v>
      </c>
      <c r="Z8" s="58">
        <f ca="1">SUM(INDIRECT("Z7:Z"&amp;ROW()-1))</f>
        <v>0</v>
      </c>
      <c r="AA8" s="58">
        <f ca="1">SUM(INDIRECT("AA7:AA"&amp;ROW()-1))</f>
        <v>0</v>
      </c>
      <c r="AB8" s="58">
        <f ca="1">SUM(INDIRECT("AB7:AB"&amp;ROW()-1))</f>
        <v>0</v>
      </c>
      <c r="AC8" s="58">
        <f ca="1">SUM(INDIRECT("AC7:AC"&amp;ROW()-1))</f>
        <v>0</v>
      </c>
      <c r="AD8" s="58">
        <f ca="1">SUM(INDIRECT("AD7:AD"&amp;ROW()-1))</f>
        <v>0</v>
      </c>
      <c r="AE8" s="58">
        <f ca="1">SUM(INDIRECT("AE7:AE"&amp;ROW()-1))</f>
        <v>0</v>
      </c>
      <c r="AF8" s="58">
        <f ca="1">SUM(INDIRECT("AF7:AF"&amp;ROW()-1))</f>
        <v>0</v>
      </c>
      <c r="AG8" s="58">
        <f ca="1">SUM(INDIRECT("AG7:AG"&amp;ROW()-1))</f>
        <v>0</v>
      </c>
      <c r="AH8" s="58">
        <f ca="1">SUM(INDIRECT("AH7:AH"&amp;ROW()-1))</f>
        <v>0</v>
      </c>
      <c r="AI8" s="58">
        <f ca="1">SUM(INDIRECT("AI7:AI"&amp;ROW()-1))</f>
        <v>0</v>
      </c>
      <c r="AJ8" s="58">
        <f ca="1">SUM(INDIRECT("AJ7:AJ"&amp;ROW()-1))</f>
        <v>0</v>
      </c>
      <c r="AK8" s="58">
        <f ca="1">SUM(INDIRECT("AK7:AK"&amp;ROW()-1))</f>
        <v>0</v>
      </c>
      <c r="AL8" s="43"/>
      <c r="AM8" s="3"/>
      <c r="AN8" s="3"/>
      <c r="AO8" s="3"/>
      <c r="AP8" s="3"/>
      <c r="AQ8" s="3"/>
      <c r="AR8" s="3"/>
      <c r="AS8" s="3"/>
      <c r="AT8" s="3"/>
      <c r="AU8" s="3"/>
      <c r="AV8" s="6"/>
    </row>
    <row r="9" spans="1:48" ht="15.75" customHeight="1">
      <c r="A9" s="41" t="s">
        <v>48</v>
      </c>
      <c r="B9" s="3"/>
      <c r="C9" s="3"/>
      <c r="D9" s="3"/>
      <c r="E9" s="44" t="s">
        <v>49</v>
      </c>
      <c r="F9" s="59"/>
      <c r="G9" s="59"/>
      <c r="H9" s="59"/>
      <c r="I9" s="59"/>
      <c r="J9" s="59"/>
      <c r="K9" s="59"/>
      <c r="L9" s="59"/>
      <c r="M9" s="59"/>
      <c r="N9" s="59"/>
      <c r="O9" s="59"/>
      <c r="P9" s="59"/>
      <c r="Q9" s="59"/>
      <c r="R9" s="59"/>
      <c r="S9" s="59"/>
      <c r="T9" s="59"/>
      <c r="U9" s="59"/>
      <c r="V9" s="59"/>
      <c r="W9" s="59"/>
      <c r="X9" s="59"/>
      <c r="Y9" s="59"/>
      <c r="Z9" s="59"/>
      <c r="AA9" s="59"/>
      <c r="AB9" s="59"/>
      <c r="AC9" s="59"/>
      <c r="AD9" s="59"/>
      <c r="AE9" s="59"/>
      <c r="AF9" s="59"/>
      <c r="AG9" s="59"/>
      <c r="AH9" s="59"/>
      <c r="AI9" s="59"/>
      <c r="AJ9" s="59"/>
      <c r="AK9" s="59"/>
      <c r="AL9" s="43"/>
      <c r="AM9" s="3"/>
      <c r="AN9" s="3"/>
      <c r="AO9" s="3"/>
      <c r="AP9" s="3"/>
      <c r="AQ9" s="3"/>
      <c r="AR9" s="3"/>
      <c r="AS9" s="3"/>
      <c r="AT9" s="3"/>
      <c r="AU9" s="3"/>
      <c r="AV9" s="6"/>
    </row>
    <row r="10" spans="1:48" ht="15.75" customHeight="1"/>
    <row r="11" spans="1:48" ht="15.75" customHeight="1"/>
    <row r="12" spans="1:48" ht="15.75" customHeight="1"/>
    <row r="13" spans="1:48" ht="15.75" customHeight="1"/>
    <row r="14" spans="1:48" ht="15.75" customHeight="1"/>
    <row r="15" spans="1:48" ht="15.75" customHeight="1"/>
    <row r="16" spans="1:48" ht="15.75" customHeight="1"/>
    <row r="17" ht="15.75" customHeight="1"/>
    <row r="18" ht="15.75" customHeight="1"/>
    <row r="19" ht="15.75" customHeight="1"/>
    <row r="20" ht="15.75" customHeight="1"/>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sheetData>
  <conditionalFormatting sqref="F1:AJ9">
    <cfRule type="expression" dxfId="9" priority="12">
      <formula>F$4=TODAY()</formula>
    </cfRule>
  </conditionalFormatting>
  <conditionalFormatting sqref="AH1:AJ9">
    <cfRule type="expression" dxfId="8" priority="13">
      <formula>AH$5=""</formula>
    </cfRule>
  </conditionalFormatting>
  <conditionalFormatting sqref="F1:AJ9">
    <cfRule type="expression" dxfId="7" priority="14">
      <formula>OR(WEEKDAY(F$5)=1,WEEKDAY(F$5)=7)</formula>
    </cfRule>
  </conditionalFormatting>
  <conditionalFormatting sqref="A1:AV9">
    <cfRule type="expression" dxfId="6" priority="15">
      <formula>$E1="NON BILL PTO/Holiday"</formula>
    </cfRule>
  </conditionalFormatting>
  <conditionalFormatting sqref="A1:AV9">
    <cfRule type="expression" dxfId="5" priority="16">
      <formula>$E1="NON BILL Company Overhead"</formula>
    </cfRule>
  </conditionalFormatting>
  <conditionalFormatting sqref="AH1:AH1048576">
    <cfRule type="expression" dxfId="4" priority="6">
      <formula>$AH$1=FALSE</formula>
    </cfRule>
  </conditionalFormatting>
  <conditionalFormatting sqref="AI1:AI1048576">
    <cfRule type="expression" dxfId="3" priority="5">
      <formula>$AI$1=FALSE</formula>
    </cfRule>
  </conditionalFormatting>
  <conditionalFormatting sqref="AJ1:AJ1048576">
    <cfRule type="expression" dxfId="2" priority="4">
      <formula>$AJ$1=FALSE</formula>
    </cfRule>
  </conditionalFormatting>
  <conditionalFormatting sqref="AL1:AL1048576">
    <cfRule type="duplicateValues" dxfId="1" priority="2"/>
  </conditionalFormatting>
  <conditionalFormatting sqref="E1:E1048576">
    <cfRule type="duplicateValues" dxfId="0" priority="1"/>
  </conditionalFormatting>
  <dataValidations count="2">
    <dataValidation type="list" allowBlank="1" sqref="B7" xr:uid="{00000000-0002-0000-0000-000000000000}">
      <formula1>"2019,2020,2021,2022,2023,2024,2025,2026,2027,2028,2029,2030"</formula1>
    </dataValidation>
    <dataValidation type="list" allowBlank="1" sqref="C7" xr:uid="{00000000-0002-0000-0000-000001000000}">
      <formula1>"January,February,March,April,May,June,July,August,September,October,November,December"</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1" r:id="rId4" name="Button 7">
              <controlPr defaultSize="0" print="0" autoFill="0" autoPict="0" macro="[0]!New_Task_Row_Button">
                <anchor moveWithCells="1" sizeWithCells="1">
                  <from>
                    <xdr:col>4</xdr:col>
                    <xdr:colOff>9525</xdr:colOff>
                    <xdr:row>4</xdr:row>
                    <xdr:rowOff>9525</xdr:rowOff>
                  </from>
                  <to>
                    <xdr:col>4</xdr:col>
                    <xdr:colOff>1266825</xdr:colOff>
                    <xdr:row>4</xdr:row>
                    <xdr:rowOff>361950</xdr:rowOff>
                  </to>
                </anchor>
              </controlPr>
            </control>
          </mc:Choice>
        </mc:AlternateContent>
        <mc:AlternateContent xmlns:mc="http://schemas.openxmlformats.org/markup-compatibility/2006">
          <mc:Choice Requires="x14">
            <control shapeId="1035" r:id="rId5" name="Button 11">
              <controlPr defaultSize="0" print="0" autoFill="0" autoPict="0" macro="[0]!Submit_button">
                <anchor moveWithCells="1" sizeWithCells="1">
                  <from>
                    <xdr:col>38</xdr:col>
                    <xdr:colOff>38100</xdr:colOff>
                    <xdr:row>2</xdr:row>
                    <xdr:rowOff>9525</xdr:rowOff>
                  </from>
                  <to>
                    <xdr:col>39</xdr:col>
                    <xdr:colOff>228600</xdr:colOff>
                    <xdr:row>3</xdr:row>
                    <xdr:rowOff>171450</xdr:rowOff>
                  </to>
                </anchor>
              </controlPr>
            </control>
          </mc:Choice>
        </mc:AlternateContent>
        <mc:AlternateContent xmlns:mc="http://schemas.openxmlformats.org/markup-compatibility/2006">
          <mc:Choice Requires="x14">
            <control shapeId="1041" r:id="rId6" name="Button 17">
              <controlPr defaultSize="0" print="0" autoFill="0" autoPict="0" macro="[0]!Reset_Button">
                <anchor moveWithCells="1" sizeWithCells="1">
                  <from>
                    <xdr:col>45</xdr:col>
                    <xdr:colOff>9525</xdr:colOff>
                    <xdr:row>2</xdr:row>
                    <xdr:rowOff>9525</xdr:rowOff>
                  </from>
                  <to>
                    <xdr:col>46</xdr:col>
                    <xdr:colOff>190500</xdr:colOff>
                    <xdr:row>3</xdr:row>
                    <xdr:rowOff>180975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2000000}">
          <x14:formula1>
            <xm:f>Sheet3!$A:$A</xm:f>
          </x14:formula1>
          <xm:sqref>E7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outlinePr summaryBelow="0" summaryRight="0"/>
  </sheetPr>
  <dimension ref="A1:AV25"/>
  <sheetViews>
    <sheetView workbookViewId="0">
      <selection activeCell="G22" sqref="G22"/>
    </sheetView>
  </sheetViews>
  <sheetFormatPr defaultColWidth="14.42578125" defaultRowHeight="15.75" customHeight="1"/>
  <cols>
    <col min="48" max="48" width="14.42578125" style="53"/>
  </cols>
  <sheetData>
    <row r="1" spans="1:48">
      <c r="A1" s="7" t="s">
        <v>0</v>
      </c>
      <c r="B1" s="7" t="s">
        <v>1</v>
      </c>
      <c r="C1" s="7" t="s">
        <v>2</v>
      </c>
      <c r="D1" s="7" t="s">
        <v>3</v>
      </c>
      <c r="E1" s="7" t="s">
        <v>4</v>
      </c>
      <c r="F1" s="7" t="s">
        <v>5</v>
      </c>
      <c r="G1" s="7" t="s">
        <v>6</v>
      </c>
      <c r="H1" s="7" t="s">
        <v>7</v>
      </c>
      <c r="I1" s="7" t="s">
        <v>8</v>
      </c>
      <c r="J1" s="7" t="s">
        <v>9</v>
      </c>
      <c r="K1" s="7" t="s">
        <v>10</v>
      </c>
      <c r="L1" s="7" t="s">
        <v>11</v>
      </c>
      <c r="M1" s="7" t="s">
        <v>12</v>
      </c>
      <c r="N1" s="7" t="s">
        <v>13</v>
      </c>
      <c r="O1" s="7" t="s">
        <v>14</v>
      </c>
      <c r="P1" s="7" t="s">
        <v>15</v>
      </c>
      <c r="Q1" s="7" t="s">
        <v>16</v>
      </c>
      <c r="R1" s="7" t="s">
        <v>17</v>
      </c>
      <c r="S1" s="7" t="s">
        <v>18</v>
      </c>
      <c r="T1" s="7" t="s">
        <v>19</v>
      </c>
      <c r="U1" s="7" t="s">
        <v>20</v>
      </c>
      <c r="V1" s="7" t="s">
        <v>21</v>
      </c>
      <c r="W1" s="7" t="s">
        <v>22</v>
      </c>
      <c r="X1" s="7" t="s">
        <v>23</v>
      </c>
      <c r="Y1" s="7" t="s">
        <v>24</v>
      </c>
      <c r="Z1" s="7" t="s">
        <v>25</v>
      </c>
      <c r="AA1" s="7" t="s">
        <v>26</v>
      </c>
      <c r="AB1" s="7" t="s">
        <v>27</v>
      </c>
      <c r="AC1" s="7" t="s">
        <v>28</v>
      </c>
      <c r="AD1" s="7" t="s">
        <v>29</v>
      </c>
      <c r="AE1" s="7" t="s">
        <v>30</v>
      </c>
      <c r="AF1" s="7" t="s">
        <v>31</v>
      </c>
      <c r="AG1" s="7" t="s">
        <v>32</v>
      </c>
      <c r="AH1" s="7" t="s">
        <v>33</v>
      </c>
      <c r="AI1" s="7" t="s">
        <v>34</v>
      </c>
      <c r="AJ1" s="7" t="s">
        <v>36</v>
      </c>
      <c r="AK1" s="7" t="s">
        <v>37</v>
      </c>
      <c r="AL1" s="7" t="s">
        <v>38</v>
      </c>
      <c r="AM1" s="7" t="s">
        <v>39</v>
      </c>
      <c r="AN1" s="9" t="s">
        <v>40</v>
      </c>
      <c r="AO1" s="7" t="s">
        <v>35</v>
      </c>
      <c r="AP1" s="7" t="s">
        <v>41</v>
      </c>
      <c r="AQ1" s="7" t="s">
        <v>42</v>
      </c>
      <c r="AR1" s="7" t="s">
        <v>43</v>
      </c>
      <c r="AS1" s="7" t="s">
        <v>44</v>
      </c>
      <c r="AT1" s="7" t="s">
        <v>45</v>
      </c>
      <c r="AU1" s="7" t="s">
        <v>46</v>
      </c>
      <c r="AV1" s="52" t="s">
        <v>47</v>
      </c>
    </row>
    <row r="2" spans="1:48" ht="15.75" customHeight="1">
      <c r="A2" t="s">
        <v>0</v>
      </c>
      <c r="B2" t="s">
        <v>1</v>
      </c>
      <c r="C2" t="s">
        <v>2</v>
      </c>
      <c r="D2" t="s">
        <v>3</v>
      </c>
      <c r="E2" t="s">
        <v>4</v>
      </c>
      <c r="F2">
        <v>43831</v>
      </c>
      <c r="G2">
        <v>43832</v>
      </c>
      <c r="H2">
        <v>43833</v>
      </c>
      <c r="I2">
        <v>43834</v>
      </c>
      <c r="J2">
        <v>43835</v>
      </c>
      <c r="K2">
        <v>43836</v>
      </c>
      <c r="L2">
        <v>43837</v>
      </c>
      <c r="M2">
        <v>43838</v>
      </c>
      <c r="N2">
        <v>43839</v>
      </c>
      <c r="O2">
        <v>43840</v>
      </c>
      <c r="P2">
        <v>43841</v>
      </c>
      <c r="Q2">
        <v>43842</v>
      </c>
      <c r="R2">
        <v>43843</v>
      </c>
      <c r="S2">
        <v>43844</v>
      </c>
      <c r="T2">
        <v>43845</v>
      </c>
      <c r="U2">
        <v>43846</v>
      </c>
      <c r="V2">
        <v>43847</v>
      </c>
      <c r="W2">
        <v>43848</v>
      </c>
      <c r="X2">
        <v>43849</v>
      </c>
      <c r="Y2">
        <v>43850</v>
      </c>
      <c r="Z2">
        <v>43851</v>
      </c>
      <c r="AA2">
        <v>43852</v>
      </c>
      <c r="AB2">
        <v>43853</v>
      </c>
      <c r="AC2">
        <v>43854</v>
      </c>
      <c r="AD2">
        <v>43855</v>
      </c>
      <c r="AE2">
        <v>43856</v>
      </c>
      <c r="AF2">
        <v>43857</v>
      </c>
      <c r="AG2">
        <v>43858</v>
      </c>
      <c r="AH2">
        <v>43859</v>
      </c>
      <c r="AI2">
        <v>43860</v>
      </c>
      <c r="AJ2">
        <v>43861</v>
      </c>
      <c r="AK2" t="s">
        <v>37</v>
      </c>
      <c r="AM2" t="s">
        <v>39</v>
      </c>
      <c r="AN2" t="s">
        <v>40</v>
      </c>
      <c r="AO2" t="s">
        <v>35</v>
      </c>
      <c r="AP2" t="s">
        <v>41</v>
      </c>
      <c r="AQ2" t="s">
        <v>42</v>
      </c>
      <c r="AS2" t="s">
        <v>44</v>
      </c>
      <c r="AT2" t="s">
        <v>45</v>
      </c>
      <c r="AU2" t="s">
        <v>46</v>
      </c>
      <c r="AV2" s="53" t="s">
        <v>47</v>
      </c>
    </row>
    <row r="3" spans="1:48" ht="15.75" customHeight="1">
      <c r="A3">
        <v>1</v>
      </c>
      <c r="B3">
        <v>2020</v>
      </c>
      <c r="C3" t="s">
        <v>94</v>
      </c>
      <c r="D3" t="s">
        <v>108</v>
      </c>
      <c r="E3" t="s">
        <v>67</v>
      </c>
      <c r="G3">
        <v>3</v>
      </c>
      <c r="K3">
        <v>1</v>
      </c>
      <c r="M3">
        <v>5</v>
      </c>
      <c r="N3">
        <v>4.5</v>
      </c>
      <c r="Z3">
        <v>0.5</v>
      </c>
      <c r="AK3">
        <v>14</v>
      </c>
      <c r="AL3" t="s">
        <v>67</v>
      </c>
      <c r="AM3" t="s">
        <v>99</v>
      </c>
      <c r="AN3" t="s">
        <v>102</v>
      </c>
      <c r="AO3">
        <v>93</v>
      </c>
      <c r="AP3">
        <v>9.5</v>
      </c>
      <c r="AQ3">
        <v>13.5</v>
      </c>
      <c r="AS3">
        <v>116</v>
      </c>
      <c r="AT3">
        <v>0.90731707317073174</v>
      </c>
      <c r="AU3">
        <v>9.2682926829268292E-2</v>
      </c>
      <c r="AV3" s="53">
        <v>43864.352754629632</v>
      </c>
    </row>
    <row r="4" spans="1:48" ht="15.75" customHeight="1">
      <c r="E4" t="s">
        <v>82</v>
      </c>
      <c r="AF4">
        <v>1</v>
      </c>
      <c r="AK4">
        <v>1</v>
      </c>
      <c r="AL4" t="s">
        <v>82</v>
      </c>
      <c r="AM4" t="s">
        <v>99</v>
      </c>
      <c r="AN4" t="s">
        <v>104</v>
      </c>
    </row>
    <row r="5" spans="1:48" ht="15.75" customHeight="1">
      <c r="E5" t="s">
        <v>76</v>
      </c>
      <c r="AA5">
        <v>5</v>
      </c>
      <c r="AK5">
        <v>5</v>
      </c>
      <c r="AL5" t="s">
        <v>76</v>
      </c>
      <c r="AM5" t="s">
        <v>99</v>
      </c>
      <c r="AN5" t="s">
        <v>103</v>
      </c>
    </row>
    <row r="6" spans="1:48" ht="15.75" customHeight="1">
      <c r="E6" t="s">
        <v>83</v>
      </c>
      <c r="F6">
        <v>6.5</v>
      </c>
      <c r="R6">
        <v>6</v>
      </c>
      <c r="AK6">
        <v>12.5</v>
      </c>
      <c r="AL6" t="s">
        <v>83</v>
      </c>
      <c r="AM6" t="s">
        <v>99</v>
      </c>
      <c r="AN6" t="s">
        <v>100</v>
      </c>
    </row>
    <row r="7" spans="1:48" ht="15.75" customHeight="1">
      <c r="E7" t="s">
        <v>58</v>
      </c>
      <c r="G7">
        <v>2</v>
      </c>
      <c r="H7">
        <v>6.5</v>
      </c>
      <c r="K7">
        <v>4</v>
      </c>
      <c r="L7">
        <v>6.5</v>
      </c>
      <c r="M7">
        <v>1</v>
      </c>
      <c r="N7">
        <v>1.5</v>
      </c>
      <c r="O7">
        <v>6.5</v>
      </c>
      <c r="S7">
        <v>5.5</v>
      </c>
      <c r="T7">
        <v>5.5</v>
      </c>
      <c r="U7">
        <v>1</v>
      </c>
      <c r="V7">
        <v>6.5</v>
      </c>
      <c r="Z7">
        <v>6</v>
      </c>
      <c r="AA7">
        <v>2.5</v>
      </c>
      <c r="AG7">
        <v>6</v>
      </c>
      <c r="AH7">
        <v>7.5</v>
      </c>
      <c r="AK7">
        <v>68.5</v>
      </c>
      <c r="AL7" t="s">
        <v>58</v>
      </c>
      <c r="AM7" t="s">
        <v>99</v>
      </c>
      <c r="AN7" t="s">
        <v>107</v>
      </c>
      <c r="AO7" t="s">
        <v>106</v>
      </c>
    </row>
    <row r="8" spans="1:48" ht="15.75" customHeight="1">
      <c r="E8" t="s">
        <v>79</v>
      </c>
      <c r="K8">
        <v>1.5</v>
      </c>
      <c r="T8">
        <v>0.5</v>
      </c>
      <c r="U8">
        <v>0.5</v>
      </c>
      <c r="Z8">
        <v>2</v>
      </c>
      <c r="AK8">
        <v>4.5</v>
      </c>
      <c r="AL8" t="s">
        <v>79</v>
      </c>
      <c r="AM8" t="s">
        <v>99</v>
      </c>
      <c r="AN8" t="s">
        <v>101</v>
      </c>
    </row>
    <row r="9" spans="1:48" ht="15.75" customHeight="1">
      <c r="E9" t="s">
        <v>50</v>
      </c>
      <c r="M9">
        <v>1</v>
      </c>
      <c r="T9">
        <v>0.5</v>
      </c>
      <c r="U9">
        <v>5</v>
      </c>
      <c r="AA9">
        <v>1</v>
      </c>
      <c r="AG9">
        <v>2</v>
      </c>
      <c r="AH9">
        <v>1</v>
      </c>
      <c r="AK9">
        <v>10.5</v>
      </c>
      <c r="AL9" t="s">
        <v>50</v>
      </c>
      <c r="AM9" t="s">
        <v>99</v>
      </c>
      <c r="AN9" t="s">
        <v>105</v>
      </c>
    </row>
    <row r="10" spans="1:48" ht="15.75" customHeight="1">
      <c r="A10" t="s">
        <v>48</v>
      </c>
      <c r="E10" t="s">
        <v>37</v>
      </c>
      <c r="F10">
        <v>6.5</v>
      </c>
      <c r="G10">
        <v>5</v>
      </c>
      <c r="H10">
        <v>6.5</v>
      </c>
      <c r="I10">
        <v>0</v>
      </c>
      <c r="J10">
        <v>0</v>
      </c>
      <c r="K10">
        <v>6.5</v>
      </c>
      <c r="L10">
        <v>6.5</v>
      </c>
      <c r="M10">
        <v>7</v>
      </c>
      <c r="N10">
        <v>6</v>
      </c>
      <c r="O10">
        <v>6.5</v>
      </c>
      <c r="P10">
        <v>0</v>
      </c>
      <c r="Q10">
        <v>0</v>
      </c>
      <c r="R10">
        <v>6</v>
      </c>
      <c r="S10">
        <v>5.5</v>
      </c>
      <c r="T10">
        <v>6.5</v>
      </c>
      <c r="U10">
        <v>6.5</v>
      </c>
      <c r="V10">
        <v>6.5</v>
      </c>
      <c r="W10">
        <v>0</v>
      </c>
      <c r="X10">
        <v>0</v>
      </c>
      <c r="Y10">
        <v>0</v>
      </c>
      <c r="Z10">
        <v>8.5</v>
      </c>
      <c r="AA10">
        <v>8.5</v>
      </c>
      <c r="AB10">
        <v>0</v>
      </c>
      <c r="AC10">
        <v>0</v>
      </c>
      <c r="AD10">
        <v>0</v>
      </c>
      <c r="AE10">
        <v>0</v>
      </c>
      <c r="AF10">
        <v>1</v>
      </c>
      <c r="AG10">
        <v>8</v>
      </c>
      <c r="AH10">
        <v>8.5</v>
      </c>
      <c r="AI10">
        <v>0</v>
      </c>
      <c r="AJ10">
        <v>0</v>
      </c>
      <c r="AK10">
        <v>116</v>
      </c>
    </row>
    <row r="11" spans="1:48" ht="15.75" customHeight="1">
      <c r="A11" t="s">
        <v>48</v>
      </c>
      <c r="E11" t="s">
        <v>49</v>
      </c>
    </row>
    <row r="12" spans="1:48" ht="15.75" customHeight="1">
      <c r="A12" t="s">
        <v>0</v>
      </c>
      <c r="B12" t="s">
        <v>1</v>
      </c>
      <c r="C12" t="s">
        <v>2</v>
      </c>
      <c r="D12" t="s">
        <v>3</v>
      </c>
      <c r="E12" t="s">
        <v>4</v>
      </c>
      <c r="F12">
        <v>43862</v>
      </c>
      <c r="G12">
        <v>43863</v>
      </c>
      <c r="H12">
        <v>43864</v>
      </c>
      <c r="I12">
        <v>43865</v>
      </c>
      <c r="J12">
        <v>43866</v>
      </c>
      <c r="K12">
        <v>43867</v>
      </c>
      <c r="L12">
        <v>43868</v>
      </c>
      <c r="M12">
        <v>43869</v>
      </c>
      <c r="N12">
        <v>43870</v>
      </c>
      <c r="O12">
        <v>43871</v>
      </c>
      <c r="P12">
        <v>43872</v>
      </c>
      <c r="Q12">
        <v>43873</v>
      </c>
      <c r="R12">
        <v>43874</v>
      </c>
      <c r="S12">
        <v>43875</v>
      </c>
      <c r="T12">
        <v>43876</v>
      </c>
      <c r="U12">
        <v>43877</v>
      </c>
      <c r="V12">
        <v>43878</v>
      </c>
      <c r="W12">
        <v>43879</v>
      </c>
      <c r="X12">
        <v>43880</v>
      </c>
      <c r="Y12">
        <v>43881</v>
      </c>
      <c r="Z12">
        <v>43882</v>
      </c>
      <c r="AA12">
        <v>43883</v>
      </c>
      <c r="AB12">
        <v>43884</v>
      </c>
      <c r="AC12">
        <v>43885</v>
      </c>
      <c r="AD12">
        <v>43886</v>
      </c>
      <c r="AE12">
        <v>43887</v>
      </c>
      <c r="AF12">
        <v>43888</v>
      </c>
      <c r="AG12">
        <v>43889</v>
      </c>
      <c r="AH12">
        <v>43890</v>
      </c>
      <c r="AI12">
        <v>43891</v>
      </c>
      <c r="AJ12">
        <v>43892</v>
      </c>
      <c r="AK12" t="s">
        <v>37</v>
      </c>
      <c r="AM12" t="s">
        <v>39</v>
      </c>
      <c r="AN12" t="s">
        <v>40</v>
      </c>
      <c r="AO12" t="s">
        <v>35</v>
      </c>
      <c r="AP12" t="s">
        <v>41</v>
      </c>
      <c r="AQ12" t="s">
        <v>42</v>
      </c>
      <c r="AS12" t="s">
        <v>44</v>
      </c>
      <c r="AT12" t="s">
        <v>45</v>
      </c>
      <c r="AU12" t="s">
        <v>46</v>
      </c>
      <c r="AV12" s="53" t="s">
        <v>47</v>
      </c>
    </row>
    <row r="13" spans="1:48" ht="15.75" customHeight="1">
      <c r="A13">
        <v>2</v>
      </c>
      <c r="B13">
        <v>2020</v>
      </c>
      <c r="C13" t="s">
        <v>109</v>
      </c>
      <c r="D13" t="s">
        <v>121</v>
      </c>
      <c r="E13" t="s">
        <v>72</v>
      </c>
      <c r="Q13">
        <v>4</v>
      </c>
      <c r="AK13">
        <v>4</v>
      </c>
      <c r="AL13" t="s">
        <v>72</v>
      </c>
      <c r="AM13" t="s">
        <v>99</v>
      </c>
      <c r="AN13" t="s">
        <v>113</v>
      </c>
      <c r="AO13">
        <v>51.5</v>
      </c>
      <c r="AP13">
        <v>5.5</v>
      </c>
      <c r="AQ13">
        <v>17</v>
      </c>
      <c r="AS13">
        <v>74</v>
      </c>
      <c r="AT13">
        <v>0.90350877192982459</v>
      </c>
      <c r="AU13">
        <v>9.6491228070175433E-2</v>
      </c>
      <c r="AV13" s="53">
        <v>43887.728356481479</v>
      </c>
    </row>
    <row r="14" spans="1:48" ht="15.75" customHeight="1">
      <c r="E14" t="s">
        <v>85</v>
      </c>
      <c r="AE14">
        <v>0.5</v>
      </c>
      <c r="AK14">
        <v>0.5</v>
      </c>
      <c r="AL14" t="s">
        <v>85</v>
      </c>
      <c r="AM14" t="s">
        <v>99</v>
      </c>
      <c r="AN14" t="s">
        <v>117</v>
      </c>
    </row>
    <row r="15" spans="1:48" ht="15.75" customHeight="1">
      <c r="E15" t="s">
        <v>78</v>
      </c>
      <c r="AD15">
        <v>3</v>
      </c>
      <c r="AK15">
        <v>3</v>
      </c>
      <c r="AL15" t="s">
        <v>78</v>
      </c>
      <c r="AM15" t="s">
        <v>99</v>
      </c>
      <c r="AN15" t="s">
        <v>115</v>
      </c>
    </row>
    <row r="16" spans="1:48" ht="15.75" customHeight="1">
      <c r="E16" t="s">
        <v>64</v>
      </c>
      <c r="AD16">
        <v>1.5</v>
      </c>
      <c r="AE16">
        <v>1.5</v>
      </c>
      <c r="AK16">
        <v>3</v>
      </c>
      <c r="AL16" t="s">
        <v>64</v>
      </c>
      <c r="AM16" t="s">
        <v>99</v>
      </c>
      <c r="AN16" t="s">
        <v>118</v>
      </c>
    </row>
    <row r="17" spans="1:40" ht="15.75" customHeight="1">
      <c r="E17" t="s">
        <v>82</v>
      </c>
      <c r="AD17">
        <v>1</v>
      </c>
      <c r="AK17">
        <v>1</v>
      </c>
      <c r="AL17" t="s">
        <v>82</v>
      </c>
      <c r="AM17" t="s">
        <v>99</v>
      </c>
      <c r="AN17" t="s">
        <v>114</v>
      </c>
    </row>
    <row r="18" spans="1:40" ht="15.75" customHeight="1">
      <c r="E18" t="s">
        <v>79</v>
      </c>
      <c r="W18">
        <v>2.5</v>
      </c>
      <c r="AK18">
        <v>2.5</v>
      </c>
      <c r="AL18" t="s">
        <v>79</v>
      </c>
      <c r="AM18" t="s">
        <v>99</v>
      </c>
      <c r="AN18" t="s">
        <v>120</v>
      </c>
    </row>
    <row r="19" spans="1:40" ht="15.75" customHeight="1">
      <c r="E19" t="s">
        <v>50</v>
      </c>
      <c r="P19">
        <v>3.5</v>
      </c>
      <c r="X19">
        <v>1</v>
      </c>
      <c r="AD19">
        <v>1.5</v>
      </c>
      <c r="AE19">
        <v>2.5</v>
      </c>
      <c r="AK19">
        <v>8.5</v>
      </c>
      <c r="AL19" t="s">
        <v>50</v>
      </c>
      <c r="AM19" t="s">
        <v>99</v>
      </c>
      <c r="AN19" t="s">
        <v>116</v>
      </c>
    </row>
    <row r="20" spans="1:40" ht="15.75" customHeight="1">
      <c r="E20" t="s">
        <v>67</v>
      </c>
      <c r="P20">
        <v>1</v>
      </c>
      <c r="AK20">
        <v>1</v>
      </c>
      <c r="AL20" t="s">
        <v>67</v>
      </c>
      <c r="AM20" t="s">
        <v>99</v>
      </c>
      <c r="AN20" t="s">
        <v>111</v>
      </c>
    </row>
    <row r="21" spans="1:40" ht="15.75" customHeight="1">
      <c r="E21" t="s">
        <v>51</v>
      </c>
      <c r="P21">
        <v>1</v>
      </c>
      <c r="AK21">
        <v>1</v>
      </c>
      <c r="AL21" t="s">
        <v>51</v>
      </c>
      <c r="AM21" t="s">
        <v>99</v>
      </c>
      <c r="AN21" t="s">
        <v>110</v>
      </c>
    </row>
    <row r="22" spans="1:40" ht="15.75" customHeight="1">
      <c r="E22" t="s">
        <v>58</v>
      </c>
      <c r="P22">
        <v>3</v>
      </c>
      <c r="Q22">
        <v>10</v>
      </c>
      <c r="W22">
        <v>6.5</v>
      </c>
      <c r="X22">
        <v>8</v>
      </c>
      <c r="AD22">
        <v>2</v>
      </c>
      <c r="AE22">
        <v>4</v>
      </c>
      <c r="AK22">
        <v>33.5</v>
      </c>
      <c r="AL22" t="s">
        <v>58</v>
      </c>
      <c r="AM22" t="s">
        <v>99</v>
      </c>
      <c r="AN22" t="s">
        <v>119</v>
      </c>
    </row>
    <row r="23" spans="1:40" ht="15.75" customHeight="1">
      <c r="E23" t="s">
        <v>83</v>
      </c>
      <c r="I23">
        <v>0</v>
      </c>
      <c r="J23">
        <v>0</v>
      </c>
      <c r="AK23">
        <v>16</v>
      </c>
      <c r="AL23" t="s">
        <v>83</v>
      </c>
      <c r="AM23" t="s">
        <v>99</v>
      </c>
    </row>
    <row r="24" spans="1:40" ht="15.75" customHeight="1">
      <c r="A24" t="s">
        <v>48</v>
      </c>
      <c r="E24" t="s">
        <v>37</v>
      </c>
      <c r="F24">
        <v>0</v>
      </c>
      <c r="G24">
        <v>0</v>
      </c>
      <c r="H24">
        <v>0</v>
      </c>
      <c r="I24">
        <v>0</v>
      </c>
      <c r="J24">
        <v>0</v>
      </c>
      <c r="K24">
        <v>0</v>
      </c>
      <c r="L24">
        <v>0</v>
      </c>
      <c r="M24">
        <v>0</v>
      </c>
      <c r="N24">
        <v>0</v>
      </c>
      <c r="O24">
        <v>0</v>
      </c>
      <c r="P24">
        <v>8.5</v>
      </c>
      <c r="Q24">
        <v>14</v>
      </c>
      <c r="R24">
        <v>0</v>
      </c>
      <c r="S24">
        <v>0</v>
      </c>
      <c r="T24">
        <v>0</v>
      </c>
      <c r="U24">
        <v>0</v>
      </c>
      <c r="V24">
        <v>0</v>
      </c>
      <c r="W24">
        <v>9</v>
      </c>
      <c r="X24">
        <v>9</v>
      </c>
      <c r="Y24">
        <v>0</v>
      </c>
      <c r="Z24">
        <v>0</v>
      </c>
      <c r="AA24">
        <v>0</v>
      </c>
      <c r="AB24">
        <v>0</v>
      </c>
      <c r="AC24">
        <v>0</v>
      </c>
      <c r="AD24">
        <v>9</v>
      </c>
      <c r="AE24">
        <v>8.5</v>
      </c>
      <c r="AF24">
        <v>0</v>
      </c>
      <c r="AG24">
        <v>0</v>
      </c>
      <c r="AH24">
        <v>0</v>
      </c>
      <c r="AI24">
        <v>0</v>
      </c>
      <c r="AJ24">
        <v>0</v>
      </c>
      <c r="AK24">
        <v>74</v>
      </c>
    </row>
    <row r="25" spans="1:40" ht="15.75" customHeight="1">
      <c r="A25" t="s">
        <v>48</v>
      </c>
      <c r="E25" t="s">
        <v>49</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48"/>
  <sheetViews>
    <sheetView workbookViewId="0">
      <selection activeCell="A3" sqref="A3"/>
    </sheetView>
  </sheetViews>
  <sheetFormatPr defaultRowHeight="12.75"/>
  <sheetData>
    <row r="1" spans="1:1">
      <c r="A1" s="56" t="s">
        <v>50</v>
      </c>
    </row>
    <row r="2" spans="1:1">
      <c r="A2" s="56" t="s">
        <v>112</v>
      </c>
    </row>
    <row r="3" spans="1:1">
      <c r="A3" s="56" t="s">
        <v>51</v>
      </c>
    </row>
    <row r="4" spans="1:1">
      <c r="A4" s="56" t="s">
        <v>85</v>
      </c>
    </row>
    <row r="5" spans="1:1">
      <c r="A5" s="56" t="s">
        <v>86</v>
      </c>
    </row>
    <row r="6" spans="1:1">
      <c r="A6" s="56" t="s">
        <v>87</v>
      </c>
    </row>
    <row r="7" spans="1:1">
      <c r="A7" s="56" t="s">
        <v>52</v>
      </c>
    </row>
    <row r="8" spans="1:1">
      <c r="A8" s="56" t="s">
        <v>53</v>
      </c>
    </row>
    <row r="9" spans="1:1">
      <c r="A9" s="56" t="s">
        <v>54</v>
      </c>
    </row>
    <row r="10" spans="1:1">
      <c r="A10" s="56" t="s">
        <v>55</v>
      </c>
    </row>
    <row r="11" spans="1:1">
      <c r="A11" s="56" t="s">
        <v>56</v>
      </c>
    </row>
    <row r="12" spans="1:1">
      <c r="A12" s="56" t="s">
        <v>57</v>
      </c>
    </row>
    <row r="13" spans="1:1">
      <c r="A13" s="56" t="s">
        <v>58</v>
      </c>
    </row>
    <row r="14" spans="1:1">
      <c r="A14" s="56" t="s">
        <v>59</v>
      </c>
    </row>
    <row r="15" spans="1:1">
      <c r="A15" s="56" t="s">
        <v>60</v>
      </c>
    </row>
    <row r="16" spans="1:1">
      <c r="A16" s="56" t="s">
        <v>61</v>
      </c>
    </row>
    <row r="17" spans="1:1">
      <c r="A17" s="56" t="s">
        <v>62</v>
      </c>
    </row>
    <row r="18" spans="1:1">
      <c r="A18" s="56" t="s">
        <v>63</v>
      </c>
    </row>
    <row r="19" spans="1:1">
      <c r="A19" s="56" t="s">
        <v>64</v>
      </c>
    </row>
    <row r="20" spans="1:1">
      <c r="A20" s="56" t="s">
        <v>65</v>
      </c>
    </row>
    <row r="21" spans="1:1">
      <c r="A21" s="56" t="s">
        <v>66</v>
      </c>
    </row>
    <row r="22" spans="1:1">
      <c r="A22" s="56" t="s">
        <v>67</v>
      </c>
    </row>
    <row r="23" spans="1:1">
      <c r="A23" s="56" t="s">
        <v>68</v>
      </c>
    </row>
    <row r="24" spans="1:1">
      <c r="A24" s="56" t="s">
        <v>69</v>
      </c>
    </row>
    <row r="25" spans="1:1">
      <c r="A25" s="56" t="s">
        <v>70</v>
      </c>
    </row>
    <row r="26" spans="1:1">
      <c r="A26" s="56" t="s">
        <v>71</v>
      </c>
    </row>
    <row r="27" spans="1:1">
      <c r="A27" s="56" t="s">
        <v>72</v>
      </c>
    </row>
    <row r="28" spans="1:1">
      <c r="A28" s="56" t="s">
        <v>73</v>
      </c>
    </row>
    <row r="29" spans="1:1">
      <c r="A29" s="56" t="s">
        <v>95</v>
      </c>
    </row>
    <row r="30" spans="1:1">
      <c r="A30" s="56" t="s">
        <v>88</v>
      </c>
    </row>
    <row r="31" spans="1:1">
      <c r="A31" s="56" t="s">
        <v>74</v>
      </c>
    </row>
    <row r="32" spans="1:1">
      <c r="A32" s="56" t="s">
        <v>98</v>
      </c>
    </row>
    <row r="33" spans="1:1">
      <c r="A33" s="56" t="s">
        <v>91</v>
      </c>
    </row>
    <row r="34" spans="1:1">
      <c r="A34" s="56" t="s">
        <v>75</v>
      </c>
    </row>
    <row r="35" spans="1:1">
      <c r="A35" s="56" t="s">
        <v>76</v>
      </c>
    </row>
    <row r="36" spans="1:1">
      <c r="A36" s="56" t="s">
        <v>93</v>
      </c>
    </row>
    <row r="37" spans="1:1">
      <c r="A37" s="56" t="s">
        <v>84</v>
      </c>
    </row>
    <row r="38" spans="1:1">
      <c r="A38" s="56" t="s">
        <v>77</v>
      </c>
    </row>
    <row r="39" spans="1:1">
      <c r="A39" s="56" t="s">
        <v>78</v>
      </c>
    </row>
    <row r="40" spans="1:1">
      <c r="A40" s="56" t="s">
        <v>79</v>
      </c>
    </row>
    <row r="41" spans="1:1">
      <c r="A41" s="56" t="s">
        <v>80</v>
      </c>
    </row>
    <row r="42" spans="1:1">
      <c r="A42" s="56" t="s">
        <v>81</v>
      </c>
    </row>
    <row r="43" spans="1:1">
      <c r="A43" s="56" t="s">
        <v>92</v>
      </c>
    </row>
    <row r="44" spans="1:1">
      <c r="A44" s="56" t="s">
        <v>97</v>
      </c>
    </row>
    <row r="45" spans="1:1">
      <c r="A45" s="56" t="s">
        <v>96</v>
      </c>
    </row>
    <row r="46" spans="1:1">
      <c r="A46" s="56" t="s">
        <v>82</v>
      </c>
    </row>
    <row r="47" spans="1:1">
      <c r="A47" s="56" t="s">
        <v>83</v>
      </c>
    </row>
    <row r="48" spans="1:1">
      <c r="A48" s="56" t="s">
        <v>89</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fc47652f-73a8-48ef-be6c-b836aab274ca">
      <UserInfo>
        <DisplayName>Cox, Kristen D</DisplayName>
        <AccountId>24</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6F8FDB17EA8D824EAC8CF57DE0555030" ma:contentTypeVersion="11" ma:contentTypeDescription="Create a new document." ma:contentTypeScope="" ma:versionID="a97748e2da2ee954a1f7cbe6f48d6bcf">
  <xsd:schema xmlns:xsd="http://www.w3.org/2001/XMLSchema" xmlns:xs="http://www.w3.org/2001/XMLSchema" xmlns:p="http://schemas.microsoft.com/office/2006/metadata/properties" xmlns:ns2="fc47652f-73a8-48ef-be6c-b836aab274ca" xmlns:ns3="1ef09ff2-2e9d-4a2c-946b-e898d1cc0ee0" targetNamespace="http://schemas.microsoft.com/office/2006/metadata/properties" ma:root="true" ma:fieldsID="a947f438d5b2a910722a18ca8520aea3" ns2:_="" ns3:_="">
    <xsd:import namespace="fc47652f-73a8-48ef-be6c-b836aab274ca"/>
    <xsd:import namespace="1ef09ff2-2e9d-4a2c-946b-e898d1cc0ee0"/>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AutoKeyPoints" minOccurs="0"/>
                <xsd:element ref="ns3:MediaServiceKeyPoints" minOccurs="0"/>
                <xsd:element ref="ns3:MediaServiceDateTaken" minOccurs="0"/>
                <xsd:element ref="ns3:MediaServiceAutoTags" minOccurs="0"/>
                <xsd:element ref="ns3:MediaServiceOCR" minOccurs="0"/>
                <xsd:element ref="ns3:MediaServiceGenerationTime" minOccurs="0"/>
                <xsd:element ref="ns3: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c47652f-73a8-48ef-be6c-b836aab274ca"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f09ff2-2e9d-4a2c-946b-e898d1cc0ee0"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Tags" ma:index="15" nillable="true" ma:displayName="Tags" ma:internalName="MediaServiceAutoTag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F25FE25-8A2A-4E5C-BAE0-290FEB1F4F3D}">
  <ds:schemaRefs>
    <ds:schemaRef ds:uri="http://purl.org/dc/terms/"/>
    <ds:schemaRef ds:uri="http://schemas.openxmlformats.org/package/2006/metadata/core-properties"/>
    <ds:schemaRef ds:uri="http://purl.org/dc/dcmitype/"/>
    <ds:schemaRef ds:uri="http://schemas.microsoft.com/office/infopath/2007/PartnerControls"/>
    <ds:schemaRef ds:uri="http://schemas.microsoft.com/office/2006/documentManagement/types"/>
    <ds:schemaRef ds:uri="http://purl.org/dc/elements/1.1/"/>
    <ds:schemaRef ds:uri="http://schemas.microsoft.com/office/2006/metadata/properties"/>
    <ds:schemaRef ds:uri="1ef09ff2-2e9d-4a2c-946b-e898d1cc0ee0"/>
    <ds:schemaRef ds:uri="fc47652f-73a8-48ef-be6c-b836aab274ca"/>
    <ds:schemaRef ds:uri="http://www.w3.org/XML/1998/namespace"/>
  </ds:schemaRefs>
</ds:datastoreItem>
</file>

<file path=customXml/itemProps2.xml><?xml version="1.0" encoding="utf-8"?>
<ds:datastoreItem xmlns:ds="http://schemas.openxmlformats.org/officeDocument/2006/customXml" ds:itemID="{69405CDA-735F-4A06-B4CD-609EF14A69C5}">
  <ds:schemaRefs>
    <ds:schemaRef ds:uri="http://schemas.microsoft.com/sharepoint/v3/contenttype/forms"/>
  </ds:schemaRefs>
</ds:datastoreItem>
</file>

<file path=customXml/itemProps3.xml><?xml version="1.0" encoding="utf-8"?>
<ds:datastoreItem xmlns:ds="http://schemas.openxmlformats.org/officeDocument/2006/customXml" ds:itemID="{89C16AD9-07A9-47C6-8D7F-37E9E656B1B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c47652f-73a8-48ef-be6c-b836aab274ca"/>
    <ds:schemaRef ds:uri="1ef09ff2-2e9d-4a2c-946b-e898d1cc0ee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TaskingSheet</vt:lpstr>
      <vt:lpstr>Archive</vt:lpstr>
      <vt:lpstr>Sheet3</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Boyd, Alec K</dc:creator>
  <cp:lastModifiedBy>Cox, Kristen D</cp:lastModifiedBy>
  <dcterms:created xsi:type="dcterms:W3CDTF">2019-07-09T14:54:24Z</dcterms:created>
  <dcterms:modified xsi:type="dcterms:W3CDTF">2020-02-27T00:29:36Z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0x0101006F8FDB17EA8D824EAC8CF57DE0555030</vt:lpwstr>
  </property>
</Properties>
</file>