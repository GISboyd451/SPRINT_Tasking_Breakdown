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431" documentId="13_ncr:1_{3AE25257-9C60-4AD1-B2A8-8F470E27B3AE}" xr6:coauthVersionLast="45" xr6:coauthVersionMax="45" xr10:uidLastSave="{3D1CDBAA-F54C-444D-8DEC-B25D3BFC20BB}"/>
  <bookViews>
    <workbookView xWindow="28680" yWindow="-120" windowWidth="29040" windowHeight="1584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7" i="1" l="1"/>
  <c r="B3" i="1" l="1"/>
  <c r="D7" i="1" l="1"/>
  <c r="AQ7" i="1" l="1" a="1"/>
  <c r="AQ7" i="1" s="1"/>
  <c r="AL7" i="1"/>
  <c r="AK7" i="1"/>
  <c r="F6" i="1" a="1"/>
  <c r="AG6" i="1" s="1"/>
  <c r="F5" i="1" a="1"/>
  <c r="AG5" i="1" s="1"/>
  <c r="F4" i="1" a="1"/>
  <c r="AH4" i="1" s="1"/>
  <c r="B4" i="1" a="1"/>
  <c r="B4" i="1" s="1"/>
  <c r="AC8" i="1"/>
  <c r="H8" i="1"/>
  <c r="F8" i="1"/>
  <c r="Z8" i="1"/>
  <c r="AH8" i="1"/>
  <c r="AG8" i="1"/>
  <c r="J8" i="1"/>
  <c r="AD8" i="1"/>
  <c r="G8" i="1"/>
  <c r="S8" i="1"/>
  <c r="T8" i="1"/>
  <c r="V8" i="1"/>
  <c r="I8" i="1"/>
  <c r="U8" i="1"/>
  <c r="O8" i="1"/>
  <c r="Q8" i="1"/>
  <c r="AF8" i="1"/>
  <c r="AI8" i="1"/>
  <c r="N8" i="1"/>
  <c r="Y8" i="1"/>
  <c r="K8" i="1"/>
  <c r="M8" i="1"/>
  <c r="R8" i="1"/>
  <c r="AA8" i="1"/>
  <c r="AE8" i="1"/>
  <c r="AB8" i="1"/>
  <c r="W8" i="1"/>
  <c r="AK8" i="1"/>
  <c r="P8" i="1"/>
  <c r="AJ8" i="1"/>
  <c r="X8" i="1"/>
  <c r="L8" i="1"/>
  <c r="AO7" i="1" l="1" a="1"/>
  <c r="AO7" i="1" s="1"/>
  <c r="B2" i="1" a="1"/>
  <c r="B2" i="1" s="1"/>
  <c r="D5"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T7" i="1" l="1"/>
  <c r="AU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<sst xmlns="http://schemas.openxmlformats.org/spreadsheetml/2006/main" count="248" uniqueCount="125">
  <si>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</si>
  <si>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</si>
  <si>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</si>
  <si>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</si>
  <si>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</si>
  <si>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</si>
  <si>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</si>
  <si>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</si>
  <si>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</si>
  <si>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</si>
  <si>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</si>
  <si>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</si>
  <si>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</si>
  <si>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</si>
  <si>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</si>
  <si>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</si>
  <si>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</si>
  <si>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</si>
  <si>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</si>
  <si>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</si>
  <si>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</si>
  <si>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</si>
  <si>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</si>
  <si>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</si>
  <si>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</si>
  <si>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</si>
  <si>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</si>
  <si>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</si>
  <si>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</si>
  <si>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</si>
  <si>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</si>
  <si>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</si>
  <si>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</si>
  <si>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</si>
  <si>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</si>
  <si>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</si>
  <si>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</si>
  <si>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</si>
  <si>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</si>
  <si>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</si>
  <si>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</si>
  <si>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</si>
  <si>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</si>
  <si>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</si>
  <si>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</si>
  <si>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</si>
  <si>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</si>
  <si>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</si>
  <si>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</si>
  <si>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</si>
  <si>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</si>
  <si>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</si>
  <si>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</si>
  <si>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</si>
  <si>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</si>
  <si>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</si>
  <si>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</si>
  <si>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</si>
  <si>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</si>
  <si>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</si>
  <si>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</si>
  <si>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</si>
  <si>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</si>
  <si>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</si>
  <si>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</si>
  <si>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</si>
  <si>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</si>
  <si>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</si>
  <si>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</si>
  <si>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</si>
  <si>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</si>
  <si>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</si>
  <si>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</si>
  <si>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</si>
  <si>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</si>
  <si>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</si>
  <si>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</si>
  <si>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</si>
  <si>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</si>
  <si>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</si>
  <si>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</si>
  <si>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</si>
  <si>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</si>
  <si>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</si>
  <si>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</si>
  <si>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</si>
  <si>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</si>
  <si>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</si>
  <si>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</si>
  <si>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</si>
  <si>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</si>
  <si>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</si>
  <si>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</si>
  <si>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</si>
  <si>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</si>
  <si>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</si>
  <si>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</si>
  <si>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</si>
  <si>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</si>
  <si>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Liz_Roycraft</t>
  </si>
  <si>
    <t>help WMDO with versioned editing/ using append tool in SDE enviro</t>
  </si>
  <si>
    <t>PTO, sick leave (1/13), doc appt (1/16)</t>
  </si>
  <si>
    <t>read company plan</t>
  </si>
  <si>
    <t xml:space="preserve">QC review (FY19 &amp; all entries); collection of errors for DOs &amp; related email; </t>
  </si>
  <si>
    <t xml:space="preserve">attended NSO SMA meeting &amp; related email; </t>
  </si>
  <si>
    <t xml:space="preserve">new data for TMA + follow up; </t>
  </si>
  <si>
    <t>serial # standardization - includes work on prelogic script; data reviewer - geometry review; final attribute review</t>
  </si>
  <si>
    <t>review of NULL issues, incorrect domain values; NV Trails meeting; recent edit review, metadata update; FAMS review with John; misc Sprint questions about GTLF; update GTLF with Black Rock RMP/TMP data; GTLF Trail data review</t>
  </si>
  <si>
    <t>script for domains, subtypes; Sprint huddle, misc. email; hours planning; QAQC review; Sprint OY2 Kick-off meeting, sync with supervisor; bill sheets &amp; invoicing tutorial with Nick; computer problems; year end report (meeting, editing)</t>
  </si>
  <si>
    <t>biweekly NSO GIS meeting; monthly NV GIS meeting</t>
  </si>
  <si>
    <t>January_2020</t>
  </si>
  <si>
    <t>February</t>
  </si>
  <si>
    <t xml:space="preserve">review of VRM data with RMP vs those without; </t>
  </si>
  <si>
    <t>sick leave</t>
  </si>
  <si>
    <t>NOC Meetings</t>
  </si>
  <si>
    <t>Sprint huddle; national geospatial call</t>
  </si>
  <si>
    <t>NULL geometry issue</t>
  </si>
  <si>
    <t>TMAP edits, QC review</t>
  </si>
  <si>
    <t>Feb replication QC review</t>
  </si>
  <si>
    <t>misc email, general replication QC review, bi-weekly sync with Nick</t>
  </si>
  <si>
    <t>biweekly NSO GIS meeting, quarterly division (support services) meeting</t>
  </si>
  <si>
    <t>Alistair first day call with Nick, supervisor call</t>
  </si>
  <si>
    <t>Black Rock RMP edits, looking into NHT for area &amp; misc trails in WMDO, discussion with TTM planner, trails edits</t>
  </si>
  <si>
    <t>February_2020</t>
  </si>
  <si>
    <t>GTLF: edits to LVFO TMP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</si>
</sst>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ont>
    <font>
      <b/>
      <sz val="12"/>
      <name val="Arial"/>
    </font>
    <font>
      <b/>
      <sz val="10"/>
      <name val="Arial"/>
    </font>
    <font>
      <sz val="11"/>
      <color rgb="FF000000"/>
      <name val="Inconsolata"/>
    </font>
    <font>
      <b/>
      <sz val="11"/>
      <color rgb="FF000000"/>
      <name val="Calibri"/>
    </font>
    <font>
      <sz val="11"/>
      <color rgb="FF000000"/>
      <name val="Calibri"/>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0">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9" fillId="0" borderId="7" xfId="0" applyNumberFormat="1" applyFont="1" applyBorder="1" applyAlignment="1">
      <alignment horizontal="right"/>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3"/>
  <sheetViews>
    <sheetView tabSelected="1" workbookViewId="0">
      <selection activeCell="V23" sqref="V23"/>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17" width="3.28515625" customWidth="1"/>
    <col min="18" max="18" width="4.85546875" customWidth="1"/>
    <col min="19" max="24" width="3.28515625" customWidth="1"/>
    <col min="25" max="28" width="5.42578125" customWidth="1"/>
    <col min="29" max="33" width="4.7109375" customWidth="1"/>
    <col min="34" max="34" width="3.5703125" customWidth="1"/>
    <col min="35" max="36" width="3.28515625" customWidth="1"/>
    <col min="37" max="37" width="14.42578125" customWidth="1"/>
    <col min="38" max="38" width="14.42578125" hidden="1" customWidth="1"/>
    <col min="39" max="39" width="14.42578125" customWidth="1"/>
    <col min="40" max="40" width="42.140625"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February_2020</v>
      </c>
      <c r="B1" s="2"/>
      <c r="C1" s="2"/>
      <c r="D1" s="2"/>
      <c r="E1" s="54"/>
      <c r="F1" s="3"/>
      <c r="G1" s="3"/>
      <c r="H1" s="3"/>
      <c r="I1" s="3"/>
      <c r="J1" s="3"/>
      <c r="K1" s="3"/>
      <c r="L1" s="3"/>
      <c r="M1" s="3"/>
      <c r="N1" s="3"/>
      <c r="O1" s="3"/>
      <c r="P1" s="3"/>
      <c r="Q1" s="3"/>
      <c r="R1" s="3"/>
      <c r="S1" s="3"/>
      <c r="T1" s="3"/>
      <c r="U1" s="3"/>
      <c r="V1" s="3"/>
      <c r="W1" s="3"/>
      <c r="X1" s="3"/>
      <c r="Y1" s="3"/>
      <c r="Z1" s="3"/>
      <c r="AA1" s="3"/>
      <c r="AB1" s="3"/>
      <c r="AC1" s="3"/>
      <c r="AD1" s="3"/>
      <c r="AE1" s="3"/>
      <c r="AF1" s="3"/>
      <c r="AG1" s="3"/>
      <c r="AH1" s="42" t="b">
        <f>MONTH(F6)=MONTH(AH6)</f>
        <v>1</v>
      </c>
      <c r="AI1" s="42" t="b">
        <f>MONTH(G6)=MONTH(AI6)</f>
        <v>0</v>
      </c>
      <c r="AJ1" s="42" t="b">
        <f>MONTH(H6)=MONTH(AJ6)</f>
        <v>0</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8</v>
      </c>
      <c r="C2" s="11" t="s">
        <v>45</v>
      </c>
      <c r="D2" s="12">
        <f>IFERROR(B2/D5,"")</f>
        <v>1</v>
      </c>
      <c r="E2" s="54"/>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f>IFERROR(B3/D5,"")</f>
        <v>0</v>
      </c>
      <c r="E3" s="54"/>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3"/>
      <c r="F4" s="14">
        <f t="array" ref="F4:AJ4">TRANSPOSE(DATE($B$7,MONTH(C7&amp;1),1)+TRANSPOSE(COLUMN($C$1:$AN$1)-3))</f>
        <v>43862</v>
      </c>
      <c r="G4" s="14">
        <v>43863</v>
      </c>
      <c r="H4" s="14">
        <v>43864</v>
      </c>
      <c r="I4" s="14">
        <v>43865</v>
      </c>
      <c r="J4" s="14">
        <v>43866</v>
      </c>
      <c r="K4" s="14">
        <v>43867</v>
      </c>
      <c r="L4" s="14">
        <v>43868</v>
      </c>
      <c r="M4" s="14">
        <v>43869</v>
      </c>
      <c r="N4" s="14">
        <v>43870</v>
      </c>
      <c r="O4" s="14">
        <v>43871</v>
      </c>
      <c r="P4" s="14">
        <v>43872</v>
      </c>
      <c r="Q4" s="14">
        <v>43873</v>
      </c>
      <c r="R4" s="14">
        <v>43874</v>
      </c>
      <c r="S4" s="14">
        <v>43875</v>
      </c>
      <c r="T4" s="14">
        <v>43876</v>
      </c>
      <c r="U4" s="14">
        <v>43877</v>
      </c>
      <c r="V4" s="14">
        <v>43878</v>
      </c>
      <c r="W4" s="14">
        <v>43879</v>
      </c>
      <c r="X4" s="14">
        <v>43880</v>
      </c>
      <c r="Y4" s="14">
        <v>43881</v>
      </c>
      <c r="Z4" s="14">
        <v>43882</v>
      </c>
      <c r="AA4" s="14">
        <v>43883</v>
      </c>
      <c r="AB4" s="14">
        <v>43884</v>
      </c>
      <c r="AC4" s="14">
        <v>43885</v>
      </c>
      <c r="AD4" s="14">
        <v>43886</v>
      </c>
      <c r="AE4" s="14">
        <v>43887</v>
      </c>
      <c r="AF4" s="14">
        <v>43888</v>
      </c>
      <c r="AG4" s="14">
        <v>43889</v>
      </c>
      <c r="AH4" s="14">
        <v>43890</v>
      </c>
      <c r="AI4" s="14">
        <v>43891</v>
      </c>
      <c r="AJ4" s="14">
        <v>43892</v>
      </c>
      <c r="AK4" s="15"/>
      <c r="AL4" s="5"/>
      <c r="AM4" s="3"/>
      <c r="AN4" s="3"/>
      <c r="AO4" s="3"/>
      <c r="AP4" s="3"/>
      <c r="AQ4" s="3"/>
      <c r="AR4" s="3"/>
      <c r="AS4" s="3"/>
      <c r="AT4" s="3"/>
      <c r="AU4" s="3"/>
      <c r="AV4" s="6"/>
    </row>
    <row r="5" spans="1:48" ht="30" customHeight="1">
      <c r="A5" s="16" t="s">
        <v>44</v>
      </c>
      <c r="B5" s="17">
        <f ca="1">AK8</f>
        <v>8</v>
      </c>
      <c r="C5" s="48" t="s">
        <v>90</v>
      </c>
      <c r="D5" s="18">
        <f>B2+B3</f>
        <v>8</v>
      </c>
      <c r="E5" s="50"/>
      <c r="F5" s="44">
        <f t="array" ref="F5:AJ5">TRANSPOSE(DATE($B$7,MONTH(C7&amp;1),1)+TRANSPOSE(COLUMN($C$1:$AN$1)-3))</f>
        <v>43862</v>
      </c>
      <c r="G5" s="46">
        <v>43863</v>
      </c>
      <c r="H5" s="46">
        <v>43864</v>
      </c>
      <c r="I5" s="46">
        <v>43865</v>
      </c>
      <c r="J5" s="46">
        <v>43866</v>
      </c>
      <c r="K5" s="46">
        <v>43867</v>
      </c>
      <c r="L5" s="46">
        <v>43868</v>
      </c>
      <c r="M5" s="46">
        <v>43869</v>
      </c>
      <c r="N5" s="46">
        <v>43870</v>
      </c>
      <c r="O5" s="46">
        <v>43871</v>
      </c>
      <c r="P5" s="46">
        <v>43872</v>
      </c>
      <c r="Q5" s="46">
        <v>43873</v>
      </c>
      <c r="R5" s="46">
        <v>43874</v>
      </c>
      <c r="S5" s="46">
        <v>43875</v>
      </c>
      <c r="T5" s="46">
        <v>43876</v>
      </c>
      <c r="U5" s="46">
        <v>43877</v>
      </c>
      <c r="V5" s="46">
        <v>43878</v>
      </c>
      <c r="W5" s="46">
        <v>43879</v>
      </c>
      <c r="X5" s="46">
        <v>43880</v>
      </c>
      <c r="Y5" s="46">
        <v>43881</v>
      </c>
      <c r="Z5" s="46">
        <v>43882</v>
      </c>
      <c r="AA5" s="46">
        <v>43883</v>
      </c>
      <c r="AB5" s="46">
        <v>43884</v>
      </c>
      <c r="AC5" s="46">
        <v>43885</v>
      </c>
      <c r="AD5" s="46">
        <v>43886</v>
      </c>
      <c r="AE5" s="46">
        <v>43887</v>
      </c>
      <c r="AF5" s="46">
        <v>43888</v>
      </c>
      <c r="AG5" s="46">
        <v>43889</v>
      </c>
      <c r="AH5" s="46">
        <v>43890</v>
      </c>
      <c r="AI5" s="46">
        <v>43891</v>
      </c>
      <c r="AJ5" s="19">
        <v>43892</v>
      </c>
      <c r="AK5" s="20"/>
      <c r="AL5" s="5"/>
      <c r="AM5" s="21"/>
      <c r="AN5" s="22"/>
      <c r="AO5" s="22"/>
      <c r="AP5" s="22"/>
      <c r="AQ5" s="22"/>
      <c r="AR5" s="22"/>
      <c r="AS5" s="22"/>
      <c r="AT5" s="22"/>
      <c r="AU5" s="22"/>
      <c r="AV5" s="23"/>
    </row>
    <row r="6" spans="1:48" ht="15">
      <c r="A6" s="24" t="s">
        <v>0</v>
      </c>
      <c r="B6" s="25" t="s">
        <v>1</v>
      </c>
      <c r="C6" s="25" t="s">
        <v>2</v>
      </c>
      <c r="D6" s="25" t="s">
        <v>3</v>
      </c>
      <c r="E6" s="25" t="s">
        <v>4</v>
      </c>
      <c r="F6" s="45">
        <f t="array" ref="F6:AJ6">TRANSPOSE(DATE($B$7,MONTH(C7&amp;1),1)+TRANSPOSE(COLUMN($C$1:$AN$1)-3))</f>
        <v>43862</v>
      </c>
      <c r="G6" s="47">
        <v>43863</v>
      </c>
      <c r="H6" s="47">
        <v>43864</v>
      </c>
      <c r="I6" s="47">
        <v>43865</v>
      </c>
      <c r="J6" s="47">
        <v>43866</v>
      </c>
      <c r="K6" s="47">
        <v>43867</v>
      </c>
      <c r="L6" s="47">
        <v>43868</v>
      </c>
      <c r="M6" s="47">
        <v>43869</v>
      </c>
      <c r="N6" s="47">
        <v>43870</v>
      </c>
      <c r="O6" s="47">
        <v>43871</v>
      </c>
      <c r="P6" s="47">
        <v>43872</v>
      </c>
      <c r="Q6" s="47">
        <v>43873</v>
      </c>
      <c r="R6" s="47">
        <v>43874</v>
      </c>
      <c r="S6" s="47">
        <v>43875</v>
      </c>
      <c r="T6" s="47">
        <v>43876</v>
      </c>
      <c r="U6" s="47">
        <v>43877</v>
      </c>
      <c r="V6" s="47">
        <v>43878</v>
      </c>
      <c r="W6" s="47">
        <v>43879</v>
      </c>
      <c r="X6" s="47">
        <v>43880</v>
      </c>
      <c r="Y6" s="47">
        <v>43881</v>
      </c>
      <c r="Z6" s="47">
        <v>43882</v>
      </c>
      <c r="AA6" s="47">
        <v>43883</v>
      </c>
      <c r="AB6" s="47">
        <v>43884</v>
      </c>
      <c r="AC6" s="47">
        <v>43885</v>
      </c>
      <c r="AD6" s="47">
        <v>43886</v>
      </c>
      <c r="AE6" s="47">
        <v>43887</v>
      </c>
      <c r="AF6" s="47">
        <v>43888</v>
      </c>
      <c r="AG6" s="47">
        <v>43889</v>
      </c>
      <c r="AH6" s="47">
        <v>43890</v>
      </c>
      <c r="AI6" s="47">
        <v>43891</v>
      </c>
      <c r="AJ6" s="26">
        <v>43892</v>
      </c>
      <c r="AK6" s="27" t="s">
        <v>37</v>
      </c>
      <c r="AL6" s="28"/>
      <c r="AM6" s="29" t="s">
        <v>39</v>
      </c>
      <c r="AN6" s="30" t="s">
        <v>40</v>
      </c>
      <c r="AO6" s="31" t="s">
        <v>35</v>
      </c>
      <c r="AP6" s="31" t="s">
        <v>41</v>
      </c>
      <c r="AQ6" s="31" t="s">
        <v>42</v>
      </c>
      <c r="AR6" s="18"/>
      <c r="AS6" s="31" t="s">
        <v>44</v>
      </c>
      <c r="AT6" s="31" t="s">
        <v>45</v>
      </c>
      <c r="AU6" s="31" t="s">
        <v>46</v>
      </c>
      <c r="AV6" s="32" t="s">
        <v>47</v>
      </c>
    </row>
    <row r="7" spans="1:48" ht="15">
      <c r="A7" s="59">
        <v>2</v>
      </c>
      <c r="B7" s="33">
        <v>2020</v>
      </c>
      <c r="C7" s="56" t="s">
        <v>111</v>
      </c>
      <c r="D7" s="35" t="str">
        <f>C7&amp;"_"&amp;B7</f>
        <v>February_2020</v>
      </c>
      <c r="E7" s="34" t="s">
        <v>58</v>
      </c>
      <c r="F7" s="34"/>
      <c r="G7" s="34"/>
      <c r="H7" s="34">
        <v>8</v>
      </c>
      <c r="I7" s="34"/>
      <c r="J7" s="34"/>
      <c r="K7" s="34"/>
      <c r="L7" s="34"/>
      <c r="M7" s="34"/>
      <c r="N7" s="34"/>
      <c r="O7" s="34"/>
      <c r="P7" s="34"/>
      <c r="Q7" s="34"/>
      <c r="R7" s="34"/>
      <c r="S7" s="34"/>
      <c r="T7" s="34"/>
      <c r="U7" s="34"/>
      <c r="V7" s="34"/>
      <c r="W7" s="34"/>
      <c r="X7" s="34"/>
      <c r="Y7" s="34"/>
      <c r="Z7" s="34"/>
      <c r="AA7" s="34"/>
      <c r="AB7" s="34"/>
      <c r="AC7" s="34"/>
      <c r="AD7" s="34"/>
      <c r="AE7" s="34"/>
      <c r="AF7" s="34"/>
      <c r="AG7" s="34"/>
      <c r="AH7" s="56"/>
      <c r="AI7" s="34"/>
      <c r="AJ7" s="34"/>
      <c r="AK7" s="57">
        <f t="shared" ref="AK7" si="0">SUM(F7:AJ7)</f>
        <v>8</v>
      </c>
      <c r="AL7" s="36" t="str">
        <f t="shared" ref="AL7" si="1">E7</f>
        <v>NOC GTLF</v>
      </c>
      <c r="AM7" s="49" t="s">
        <v>99</v>
      </c>
      <c r="AN7" s="49" t="s">
        <v>124</v>
      </c>
      <c r="AO7" s="37"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8</v>
      </c>
      <c r="AP7" s="37">
        <f>SUM(SUMIF(E:E, {"STATE Data Analysis","STATE Land Disposal","STATE Raster Processing/Management","STATE Data Editing","STATE Data Collection","STATE SMA","STATE Knowledge Transfer","STATE Mapping","STATE Meetings","STATE Training","STATE Travel","STATE VRM","STATE LWC","Testing/Workflow"}, AK:AK))</f>
        <v>0</v>
      </c>
      <c r="AQ7" s="37">
        <f t="array" ref="AQ7">SUM(SUMIF(E:E, {"NON BILL Company Overhead","NON BILL PTO/Holiday"}, AK:AK))</f>
        <v>0</v>
      </c>
      <c r="AR7" s="18"/>
      <c r="AS7" s="38">
        <f ca="1">AK8</f>
        <v>8</v>
      </c>
      <c r="AT7" s="37">
        <f>IFERROR(AO7/D5,"")</f>
        <v>1</v>
      </c>
      <c r="AU7" s="37">
        <f>IFERROR(AP7/D5,"")</f>
        <v>0</v>
      </c>
      <c r="AV7" s="39"/>
    </row>
    <row r="8" spans="1:48" ht="15.75" customHeight="1">
      <c r="A8" s="40" t="s">
        <v>48</v>
      </c>
      <c r="B8" s="3"/>
      <c r="C8" s="3"/>
      <c r="D8" s="41"/>
      <c r="E8" s="27" t="s">
        <v>37</v>
      </c>
      <c r="F8" s="57">
        <f ca="1">SUM(INDIRECT("F7:F"&amp;ROW()-1))</f>
        <v>0</v>
      </c>
      <c r="G8" s="57">
        <f ca="1">SUM(INDIRECT("G7:G"&amp;ROW()-1))</f>
        <v>0</v>
      </c>
      <c r="H8" s="57">
        <f ca="1">SUM(INDIRECT("H7:H"&amp;ROW()-1))</f>
        <v>8</v>
      </c>
      <c r="I8" s="57">
        <f ca="1">SUM(INDIRECT("I7:I"&amp;ROW()-1))</f>
        <v>0</v>
      </c>
      <c r="J8" s="57">
        <f ca="1">SUM(INDIRECT("J7:J"&amp;ROW()-1))</f>
        <v>0</v>
      </c>
      <c r="K8" s="57">
        <f ca="1">SUM(INDIRECT("K7:K"&amp;ROW()-1))</f>
        <v>0</v>
      </c>
      <c r="L8" s="57">
        <f ca="1">SUM(INDIRECT("L7:L"&amp;ROW()-1))</f>
        <v>0</v>
      </c>
      <c r="M8" s="57">
        <f ca="1">SUM(INDIRECT("M7:M"&amp;ROW()-1))</f>
        <v>0</v>
      </c>
      <c r="N8" s="57">
        <f ca="1">SUM(INDIRECT("N7:N"&amp;ROW()-1))</f>
        <v>0</v>
      </c>
      <c r="O8" s="57">
        <f ca="1">SUM(INDIRECT("O7:O"&amp;ROW()-1))</f>
        <v>0</v>
      </c>
      <c r="P8" s="57">
        <f ca="1">SUM(INDIRECT("P7:P"&amp;ROW()-1))</f>
        <v>0</v>
      </c>
      <c r="Q8" s="57">
        <f ca="1">SUM(INDIRECT("Q7:Q"&amp;ROW()-1))</f>
        <v>0</v>
      </c>
      <c r="R8" s="57">
        <f ca="1">SUM(INDIRECT("R7:R"&amp;ROW()-1))</f>
        <v>0</v>
      </c>
      <c r="S8" s="57">
        <f ca="1">SUM(INDIRECT("S7:S"&amp;ROW()-1))</f>
        <v>0</v>
      </c>
      <c r="T8" s="57">
        <f ca="1">SUM(INDIRECT("T7:T"&amp;ROW()-1))</f>
        <v>0</v>
      </c>
      <c r="U8" s="57">
        <f ca="1">SUM(INDIRECT("U7:U"&amp;ROW()-1))</f>
        <v>0</v>
      </c>
      <c r="V8" s="57">
        <f ca="1">SUM(INDIRECT("V7:V"&amp;ROW()-1))</f>
        <v>0</v>
      </c>
      <c r="W8" s="57">
        <f ca="1">SUM(INDIRECT("W7:W"&amp;ROW()-1))</f>
        <v>0</v>
      </c>
      <c r="X8" s="57">
        <f ca="1">SUM(INDIRECT("X7:X"&amp;ROW()-1))</f>
        <v>0</v>
      </c>
      <c r="Y8" s="57">
        <f ca="1">SUM(INDIRECT("Y7:Y"&amp;ROW()-1))</f>
        <v>0</v>
      </c>
      <c r="Z8" s="57">
        <f ca="1">SUM(INDIRECT("Z7:Z"&amp;ROW()-1))</f>
        <v>0</v>
      </c>
      <c r="AA8" s="57">
        <f ca="1">SUM(INDIRECT("AA7:AA"&amp;ROW()-1))</f>
        <v>0</v>
      </c>
      <c r="AB8" s="57">
        <f ca="1">SUM(INDIRECT("AB7:AB"&amp;ROW()-1))</f>
        <v>0</v>
      </c>
      <c r="AC8" s="57">
        <f ca="1">SUM(INDIRECT("AC7:AC"&amp;ROW()-1))</f>
        <v>0</v>
      </c>
      <c r="AD8" s="57">
        <f ca="1">SUM(INDIRECT("AD7:AD"&amp;ROW()-1))</f>
        <v>0</v>
      </c>
      <c r="AE8" s="57">
        <f ca="1">SUM(INDIRECT("AE7:AE"&amp;ROW()-1))</f>
        <v>0</v>
      </c>
      <c r="AF8" s="57">
        <f ca="1">SUM(INDIRECT("AF7:AF"&amp;ROW()-1))</f>
        <v>0</v>
      </c>
      <c r="AG8" s="57">
        <f ca="1">SUM(INDIRECT("AG7:AG"&amp;ROW()-1))</f>
        <v>0</v>
      </c>
      <c r="AH8" s="57">
        <f ca="1">SUM(INDIRECT("AH7:AH"&amp;ROW()-1))</f>
        <v>0</v>
      </c>
      <c r="AI8" s="57">
        <f ca="1">SUM(INDIRECT("AI7:AI"&amp;ROW()-1))</f>
        <v>0</v>
      </c>
      <c r="AJ8" s="57">
        <f ca="1">SUM(INDIRECT("AJ7:AJ"&amp;ROW()-1))</f>
        <v>0</v>
      </c>
      <c r="AK8" s="57">
        <f ca="1">SUM(INDIRECT("AK7:AK"&amp;ROW()-1))</f>
        <v>8</v>
      </c>
      <c r="AL8" s="42"/>
      <c r="AM8" s="3"/>
      <c r="AN8" s="3"/>
      <c r="AO8" s="3"/>
      <c r="AP8" s="3"/>
      <c r="AQ8" s="3"/>
      <c r="AR8" s="3"/>
      <c r="AS8" s="3"/>
      <c r="AT8" s="3"/>
      <c r="AU8" s="3"/>
      <c r="AV8" s="6"/>
    </row>
    <row r="9" spans="1:48" ht="15.75" customHeight="1">
      <c r="A9" s="40" t="s">
        <v>48</v>
      </c>
      <c r="B9" s="3"/>
      <c r="C9" s="3"/>
      <c r="D9" s="3"/>
      <c r="E9" s="43" t="s">
        <v>49</v>
      </c>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42"/>
      <c r="AM9" s="3"/>
      <c r="AN9" s="3"/>
      <c r="AO9" s="3"/>
      <c r="AP9" s="3"/>
      <c r="AQ9" s="3"/>
      <c r="AR9" s="3"/>
      <c r="AS9" s="3"/>
      <c r="AT9" s="3"/>
      <c r="AU9" s="3"/>
      <c r="AV9" s="6"/>
    </row>
    <row r="10" spans="1:48" ht="15.75" customHeight="1"/>
    <row r="11" spans="1:48" ht="15.75" customHeight="1"/>
    <row r="12" spans="1:48" ht="15.75" customHeight="1"/>
    <row r="13" spans="1:48" ht="15.75" customHeight="1"/>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sheetData>
  <conditionalFormatting sqref="F1:AJ9">
    <cfRule type="expression" dxfId="9" priority="12">
      <formula>F$4=TODAY()</formula>
    </cfRule>
  </conditionalFormatting>
  <conditionalFormatting sqref="AH1:AJ9">
    <cfRule type="expression" dxfId="8" priority="13">
      <formula>AH$5=""</formula>
    </cfRule>
  </conditionalFormatting>
  <conditionalFormatting sqref="F1:AJ9">
    <cfRule type="expression" dxfId="7" priority="14">
      <formula>OR(WEEKDAY(F$5)=1,WEEKDAY(F$5)=7)</formula>
    </cfRule>
  </conditionalFormatting>
  <conditionalFormatting sqref="A1:AV9">
    <cfRule type="expression" dxfId="6" priority="15">
      <formula>$E1="NON BILL PTO/Holiday"</formula>
    </cfRule>
  </conditionalFormatting>
  <conditionalFormatting sqref="A1:AV9">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 xr:uid="{00000000-0002-0000-0000-000000000000}">
      <formula1>"2019,2020,2021,2022,2023,2024,2025,2026,2027,2028,2029,2030"</formula1>
    </dataValidation>
    <dataValidation type="list" allowBlank="1" sqref="C7"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7"/>
  <sheetViews>
    <sheetView workbookViewId="0">
      <selection activeCell="C32" sqref="C32"/>
    </sheetView>
  </sheetViews>
  <sheetFormatPr defaultColWidth="14.42578125" defaultRowHeight="15.75" customHeight="1"/>
  <cols>
    <col min="48" max="48" width="14.42578125" style="52"/>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1"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2" t="s">
        <v>47</v>
      </c>
    </row>
    <row r="3" spans="1:48" ht="15.75" customHeight="1">
      <c r="A3">
        <v>1</v>
      </c>
      <c r="B3">
        <v>2020</v>
      </c>
      <c r="C3" t="s">
        <v>94</v>
      </c>
      <c r="D3" t="s">
        <v>110</v>
      </c>
      <c r="E3" t="s">
        <v>50</v>
      </c>
      <c r="G3">
        <v>4</v>
      </c>
      <c r="H3">
        <v>8</v>
      </c>
      <c r="K3">
        <v>8</v>
      </c>
      <c r="L3">
        <v>4.5</v>
      </c>
      <c r="M3">
        <v>4</v>
      </c>
      <c r="N3">
        <v>3</v>
      </c>
      <c r="O3">
        <v>4</v>
      </c>
      <c r="S3">
        <v>0.5</v>
      </c>
      <c r="T3">
        <v>1.5</v>
      </c>
      <c r="U3">
        <v>6.5</v>
      </c>
      <c r="V3">
        <v>3</v>
      </c>
      <c r="Z3">
        <v>3</v>
      </c>
      <c r="AA3">
        <v>1</v>
      </c>
      <c r="AB3">
        <v>0.5</v>
      </c>
      <c r="AC3">
        <v>0.5</v>
      </c>
      <c r="AG3">
        <v>5</v>
      </c>
      <c r="AH3">
        <v>4</v>
      </c>
      <c r="AI3">
        <v>1</v>
      </c>
      <c r="AK3">
        <v>62</v>
      </c>
      <c r="AL3" t="s">
        <v>50</v>
      </c>
      <c r="AM3" t="s">
        <v>99</v>
      </c>
      <c r="AN3" t="s">
        <v>108</v>
      </c>
      <c r="AO3">
        <v>163.5</v>
      </c>
      <c r="AP3">
        <v>2</v>
      </c>
      <c r="AQ3">
        <v>18.5</v>
      </c>
      <c r="AS3">
        <v>184</v>
      </c>
      <c r="AT3">
        <v>0.98791540785498488</v>
      </c>
      <c r="AU3">
        <v>1.2084592145015106E-2</v>
      </c>
      <c r="AV3" s="52">
        <v>43864.455439814818</v>
      </c>
    </row>
    <row r="4" spans="1:48" ht="15.75" customHeight="1">
      <c r="E4" t="s">
        <v>79</v>
      </c>
      <c r="AF4">
        <v>1</v>
      </c>
      <c r="AG4">
        <v>1</v>
      </c>
      <c r="AK4">
        <v>2</v>
      </c>
      <c r="AL4" t="s">
        <v>79</v>
      </c>
      <c r="AM4" t="s">
        <v>99</v>
      </c>
      <c r="AN4" t="s">
        <v>109</v>
      </c>
    </row>
    <row r="5" spans="1:48" ht="15.75" customHeight="1">
      <c r="E5" t="s">
        <v>67</v>
      </c>
      <c r="AB5">
        <v>1</v>
      </c>
      <c r="AK5">
        <v>1</v>
      </c>
      <c r="AL5" t="s">
        <v>67</v>
      </c>
      <c r="AM5" t="s">
        <v>99</v>
      </c>
      <c r="AN5" t="s">
        <v>105</v>
      </c>
    </row>
    <row r="6" spans="1:48" ht="15.75" customHeight="1">
      <c r="E6" t="s">
        <v>65</v>
      </c>
      <c r="AB6">
        <v>1.5</v>
      </c>
      <c r="AK6">
        <v>1.5</v>
      </c>
      <c r="AL6" t="s">
        <v>65</v>
      </c>
      <c r="AM6" t="s">
        <v>99</v>
      </c>
      <c r="AN6" t="s">
        <v>104</v>
      </c>
    </row>
    <row r="7" spans="1:48" ht="15.75" customHeight="1">
      <c r="E7" t="s">
        <v>70</v>
      </c>
      <c r="AA7">
        <v>9</v>
      </c>
      <c r="AB7">
        <v>5</v>
      </c>
      <c r="AK7">
        <v>14</v>
      </c>
      <c r="AL7" t="s">
        <v>70</v>
      </c>
      <c r="AM7" t="s">
        <v>99</v>
      </c>
      <c r="AN7" t="s">
        <v>103</v>
      </c>
    </row>
    <row r="8" spans="1:48" ht="15.75" customHeight="1">
      <c r="E8" t="s">
        <v>82</v>
      </c>
      <c r="Z8">
        <v>1</v>
      </c>
      <c r="AK8">
        <v>1</v>
      </c>
      <c r="AL8" t="s">
        <v>82</v>
      </c>
      <c r="AM8" t="s">
        <v>99</v>
      </c>
      <c r="AN8" t="s">
        <v>102</v>
      </c>
    </row>
    <row r="9" spans="1:48" ht="15.75" customHeight="1">
      <c r="E9" t="s">
        <v>63</v>
      </c>
      <c r="O9">
        <v>2</v>
      </c>
      <c r="S9">
        <v>7.5</v>
      </c>
      <c r="T9">
        <v>6.5</v>
      </c>
      <c r="V9">
        <v>4.5</v>
      </c>
      <c r="Z9">
        <v>6</v>
      </c>
      <c r="AC9">
        <v>7.5</v>
      </c>
      <c r="AK9">
        <v>34</v>
      </c>
      <c r="AL9" t="s">
        <v>63</v>
      </c>
      <c r="AM9" t="s">
        <v>99</v>
      </c>
      <c r="AN9" t="s">
        <v>106</v>
      </c>
    </row>
    <row r="10" spans="1:48" ht="15.75" customHeight="1">
      <c r="E10" t="s">
        <v>83</v>
      </c>
      <c r="F10">
        <v>8</v>
      </c>
      <c r="R10">
        <v>8</v>
      </c>
      <c r="U10">
        <v>1.5</v>
      </c>
      <c r="AK10">
        <v>17.5</v>
      </c>
      <c r="AL10" t="s">
        <v>83</v>
      </c>
      <c r="AM10" t="s">
        <v>99</v>
      </c>
      <c r="AN10" t="s">
        <v>101</v>
      </c>
    </row>
    <row r="11" spans="1:48" ht="15.75" customHeight="1">
      <c r="E11" t="s">
        <v>58</v>
      </c>
      <c r="G11">
        <v>4</v>
      </c>
      <c r="L11">
        <v>1.5</v>
      </c>
      <c r="M11">
        <v>3</v>
      </c>
      <c r="N11">
        <v>5</v>
      </c>
      <c r="O11">
        <v>2</v>
      </c>
      <c r="V11">
        <v>0.5</v>
      </c>
      <c r="AB11">
        <v>1</v>
      </c>
      <c r="AF11">
        <v>8.5</v>
      </c>
      <c r="AG11">
        <v>2.5</v>
      </c>
      <c r="AH11">
        <v>4.5</v>
      </c>
      <c r="AI11">
        <v>7.5</v>
      </c>
      <c r="AJ11">
        <v>8</v>
      </c>
      <c r="AK11">
        <v>48</v>
      </c>
      <c r="AL11" t="s">
        <v>58</v>
      </c>
      <c r="AM11" t="s">
        <v>99</v>
      </c>
      <c r="AN11" t="s">
        <v>107</v>
      </c>
    </row>
    <row r="12" spans="1:48" ht="15.75" customHeight="1">
      <c r="E12" t="s">
        <v>52</v>
      </c>
      <c r="L12">
        <v>2</v>
      </c>
      <c r="M12">
        <v>1</v>
      </c>
      <c r="AK12">
        <v>3</v>
      </c>
      <c r="AL12" t="s">
        <v>52</v>
      </c>
      <c r="AM12" t="s">
        <v>99</v>
      </c>
      <c r="AN12" t="s">
        <v>100</v>
      </c>
    </row>
    <row r="13" spans="1:48" ht="15.75" customHeight="1">
      <c r="A13" t="s">
        <v>48</v>
      </c>
      <c r="E13" t="s">
        <v>37</v>
      </c>
      <c r="F13">
        <v>8</v>
      </c>
      <c r="G13">
        <v>8</v>
      </c>
      <c r="H13">
        <v>8</v>
      </c>
      <c r="I13">
        <v>0</v>
      </c>
      <c r="J13">
        <v>0</v>
      </c>
      <c r="K13">
        <v>8</v>
      </c>
      <c r="L13">
        <v>8</v>
      </c>
      <c r="M13">
        <v>8</v>
      </c>
      <c r="N13">
        <v>8</v>
      </c>
      <c r="O13">
        <v>8</v>
      </c>
      <c r="P13">
        <v>0</v>
      </c>
      <c r="Q13">
        <v>0</v>
      </c>
      <c r="R13">
        <v>8</v>
      </c>
      <c r="S13">
        <v>8</v>
      </c>
      <c r="T13">
        <v>8</v>
      </c>
      <c r="U13">
        <v>8</v>
      </c>
      <c r="V13">
        <v>8</v>
      </c>
      <c r="W13">
        <v>0</v>
      </c>
      <c r="X13">
        <v>0</v>
      </c>
      <c r="Y13">
        <v>0</v>
      </c>
      <c r="Z13">
        <v>10</v>
      </c>
      <c r="AA13">
        <v>10</v>
      </c>
      <c r="AB13">
        <v>9</v>
      </c>
      <c r="AC13">
        <v>8</v>
      </c>
      <c r="AD13">
        <v>0</v>
      </c>
      <c r="AE13">
        <v>0</v>
      </c>
      <c r="AF13">
        <v>9.5</v>
      </c>
      <c r="AG13">
        <v>8.5</v>
      </c>
      <c r="AH13">
        <v>8.5</v>
      </c>
      <c r="AI13">
        <v>8.5</v>
      </c>
      <c r="AJ13">
        <v>8</v>
      </c>
      <c r="AK13">
        <v>184</v>
      </c>
    </row>
    <row r="14" spans="1:48" ht="15.75" customHeight="1">
      <c r="A14" t="s">
        <v>48</v>
      </c>
      <c r="E14" t="s">
        <v>49</v>
      </c>
    </row>
    <row r="15" spans="1:48" ht="15.75" customHeight="1">
      <c r="A15" t="s">
        <v>0</v>
      </c>
      <c r="B15" t="s">
        <v>1</v>
      </c>
      <c r="C15" t="s">
        <v>2</v>
      </c>
      <c r="D15" t="s">
        <v>3</v>
      </c>
      <c r="E15" t="s">
        <v>4</v>
      </c>
      <c r="F15">
        <v>43862</v>
      </c>
      <c r="G15">
        <v>43863</v>
      </c>
      <c r="H15">
        <v>43864</v>
      </c>
      <c r="I15">
        <v>43865</v>
      </c>
      <c r="J15">
        <v>43866</v>
      </c>
      <c r="K15">
        <v>43867</v>
      </c>
      <c r="L15">
        <v>43868</v>
      </c>
      <c r="M15">
        <v>43869</v>
      </c>
      <c r="N15">
        <v>43870</v>
      </c>
      <c r="O15">
        <v>43871</v>
      </c>
      <c r="P15">
        <v>43872</v>
      </c>
      <c r="Q15">
        <v>43873</v>
      </c>
      <c r="R15">
        <v>43874</v>
      </c>
      <c r="S15">
        <v>43875</v>
      </c>
      <c r="T15">
        <v>43876</v>
      </c>
      <c r="U15">
        <v>43877</v>
      </c>
      <c r="V15">
        <v>43878</v>
      </c>
      <c r="W15">
        <v>43879</v>
      </c>
      <c r="X15">
        <v>43880</v>
      </c>
      <c r="Y15">
        <v>43881</v>
      </c>
      <c r="Z15">
        <v>43882</v>
      </c>
      <c r="AA15">
        <v>43883</v>
      </c>
      <c r="AB15">
        <v>43884</v>
      </c>
      <c r="AC15">
        <v>43885</v>
      </c>
      <c r="AD15">
        <v>43886</v>
      </c>
      <c r="AE15">
        <v>43887</v>
      </c>
      <c r="AF15">
        <v>43888</v>
      </c>
      <c r="AG15">
        <v>43889</v>
      </c>
      <c r="AH15">
        <v>43890</v>
      </c>
      <c r="AI15">
        <v>43891</v>
      </c>
      <c r="AJ15">
        <v>43892</v>
      </c>
      <c r="AK15" t="s">
        <v>37</v>
      </c>
      <c r="AM15" t="s">
        <v>39</v>
      </c>
      <c r="AN15" t="s">
        <v>40</v>
      </c>
      <c r="AO15" t="s">
        <v>35</v>
      </c>
      <c r="AP15" t="s">
        <v>41</v>
      </c>
      <c r="AQ15" t="s">
        <v>42</v>
      </c>
      <c r="AS15" t="s">
        <v>44</v>
      </c>
      <c r="AT15" t="s">
        <v>45</v>
      </c>
      <c r="AU15" t="s">
        <v>46</v>
      </c>
      <c r="AV15" s="52" t="s">
        <v>47</v>
      </c>
    </row>
    <row r="16" spans="1:48" ht="15.75" customHeight="1">
      <c r="A16">
        <v>2</v>
      </c>
      <c r="B16">
        <v>2020</v>
      </c>
      <c r="C16" t="s">
        <v>111</v>
      </c>
      <c r="D16" t="s">
        <v>123</v>
      </c>
      <c r="E16" t="s">
        <v>58</v>
      </c>
      <c r="H16">
        <v>8</v>
      </c>
      <c r="I16">
        <v>8</v>
      </c>
      <c r="J16">
        <v>6.5</v>
      </c>
      <c r="O16">
        <v>5</v>
      </c>
      <c r="P16">
        <v>5</v>
      </c>
      <c r="Q16">
        <v>4</v>
      </c>
      <c r="R16">
        <v>3</v>
      </c>
      <c r="S16">
        <v>5</v>
      </c>
      <c r="W16">
        <v>7</v>
      </c>
      <c r="X16">
        <v>7</v>
      </c>
      <c r="Y16">
        <v>8</v>
      </c>
      <c r="Z16">
        <v>9</v>
      </c>
      <c r="AC16">
        <v>9.5</v>
      </c>
      <c r="AD16">
        <v>10</v>
      </c>
      <c r="AE16">
        <v>9</v>
      </c>
      <c r="AF16">
        <v>3</v>
      </c>
      <c r="AK16">
        <v>107</v>
      </c>
      <c r="AL16" t="s">
        <v>58</v>
      </c>
      <c r="AM16" t="s">
        <v>99</v>
      </c>
      <c r="AN16" t="s">
        <v>122</v>
      </c>
      <c r="AO16">
        <v>138</v>
      </c>
      <c r="AP16">
        <v>3.5</v>
      </c>
      <c r="AQ16">
        <v>21.5</v>
      </c>
      <c r="AS16">
        <v>163</v>
      </c>
      <c r="AT16">
        <v>0.97526501766784457</v>
      </c>
      <c r="AU16">
        <v>2.4734982332155476E-2</v>
      </c>
      <c r="AV16" s="52">
        <v>43889.437280092592</v>
      </c>
    </row>
    <row r="17" spans="1:40" ht="15.75" customHeight="1">
      <c r="E17" t="s">
        <v>70</v>
      </c>
      <c r="R17">
        <v>0.5</v>
      </c>
      <c r="AK17">
        <v>0.5</v>
      </c>
      <c r="AL17" t="s">
        <v>70</v>
      </c>
      <c r="AM17" t="s">
        <v>99</v>
      </c>
      <c r="AN17" t="s">
        <v>118</v>
      </c>
    </row>
    <row r="18" spans="1:40" ht="15.75" customHeight="1">
      <c r="E18" t="s">
        <v>67</v>
      </c>
      <c r="R18">
        <v>1</v>
      </c>
      <c r="AK18">
        <v>1</v>
      </c>
      <c r="AL18" t="s">
        <v>67</v>
      </c>
      <c r="AM18" t="s">
        <v>99</v>
      </c>
      <c r="AN18" t="s">
        <v>117</v>
      </c>
    </row>
    <row r="19" spans="1:40" ht="15.75" customHeight="1">
      <c r="E19" t="s">
        <v>69</v>
      </c>
      <c r="R19">
        <v>1</v>
      </c>
      <c r="AF19">
        <v>3.5</v>
      </c>
      <c r="AG19">
        <v>6</v>
      </c>
      <c r="AK19">
        <v>10.5</v>
      </c>
      <c r="AL19" t="s">
        <v>69</v>
      </c>
      <c r="AM19" t="s">
        <v>99</v>
      </c>
      <c r="AN19" t="s">
        <v>116</v>
      </c>
    </row>
    <row r="20" spans="1:40" ht="15.75" customHeight="1">
      <c r="E20" t="s">
        <v>114</v>
      </c>
      <c r="Q20">
        <v>1</v>
      </c>
      <c r="R20">
        <v>1</v>
      </c>
      <c r="X20">
        <v>1</v>
      </c>
      <c r="AK20">
        <v>3</v>
      </c>
      <c r="AL20" t="s">
        <v>114</v>
      </c>
      <c r="AM20" t="s">
        <v>99</v>
      </c>
      <c r="AN20" t="s">
        <v>115</v>
      </c>
    </row>
    <row r="21" spans="1:40" ht="15.75" customHeight="1">
      <c r="E21" t="s">
        <v>82</v>
      </c>
      <c r="Q21">
        <v>1</v>
      </c>
      <c r="V21">
        <v>2</v>
      </c>
      <c r="W21">
        <v>0.5</v>
      </c>
      <c r="Z21">
        <v>1</v>
      </c>
      <c r="AF21">
        <v>1</v>
      </c>
      <c r="AK21">
        <v>5.5</v>
      </c>
      <c r="AL21" t="s">
        <v>82</v>
      </c>
      <c r="AM21" t="s">
        <v>99</v>
      </c>
      <c r="AN21" t="s">
        <v>121</v>
      </c>
    </row>
    <row r="22" spans="1:40" ht="15.75" customHeight="1">
      <c r="E22" t="s">
        <v>83</v>
      </c>
      <c r="K22">
        <v>8</v>
      </c>
      <c r="L22">
        <v>8</v>
      </c>
      <c r="AK22">
        <v>16</v>
      </c>
      <c r="AL22" t="s">
        <v>83</v>
      </c>
      <c r="AM22" t="s">
        <v>99</v>
      </c>
      <c r="AN22" t="s">
        <v>113</v>
      </c>
    </row>
    <row r="23" spans="1:40" ht="15.75" customHeight="1">
      <c r="E23" t="s">
        <v>50</v>
      </c>
      <c r="J23">
        <v>1.5</v>
      </c>
      <c r="O23">
        <v>1</v>
      </c>
      <c r="P23">
        <v>3</v>
      </c>
      <c r="Q23">
        <v>2</v>
      </c>
      <c r="R23">
        <v>3.5</v>
      </c>
      <c r="S23">
        <v>1</v>
      </c>
      <c r="W23">
        <v>0.5</v>
      </c>
      <c r="X23">
        <v>1</v>
      </c>
      <c r="AF23">
        <v>1.5</v>
      </c>
      <c r="AG23">
        <v>1</v>
      </c>
      <c r="AK23">
        <v>16</v>
      </c>
      <c r="AL23" t="s">
        <v>50</v>
      </c>
      <c r="AM23" t="s">
        <v>99</v>
      </c>
      <c r="AN23" t="s">
        <v>119</v>
      </c>
    </row>
    <row r="24" spans="1:40" ht="15.75" customHeight="1">
      <c r="E24" t="s">
        <v>79</v>
      </c>
      <c r="O24">
        <v>1</v>
      </c>
      <c r="W24">
        <v>1.5</v>
      </c>
      <c r="AK24">
        <v>2.5</v>
      </c>
      <c r="AL24" t="s">
        <v>79</v>
      </c>
      <c r="AM24" t="s">
        <v>99</v>
      </c>
      <c r="AN24" t="s">
        <v>120</v>
      </c>
    </row>
    <row r="25" spans="1:40" ht="15.75" customHeight="1">
      <c r="E25" t="s">
        <v>84</v>
      </c>
      <c r="O25">
        <v>1</v>
      </c>
      <c r="AK25">
        <v>1</v>
      </c>
      <c r="AL25" t="s">
        <v>84</v>
      </c>
      <c r="AM25" t="s">
        <v>99</v>
      </c>
      <c r="AN25" t="s">
        <v>112</v>
      </c>
    </row>
    <row r="26" spans="1:40" ht="15.75" customHeight="1">
      <c r="A26" t="s">
        <v>48</v>
      </c>
      <c r="E26" t="s">
        <v>37</v>
      </c>
      <c r="F26">
        <v>0</v>
      </c>
      <c r="G26">
        <v>0</v>
      </c>
      <c r="H26">
        <v>8</v>
      </c>
      <c r="I26">
        <v>8</v>
      </c>
      <c r="J26">
        <v>8</v>
      </c>
      <c r="K26">
        <v>8</v>
      </c>
      <c r="L26">
        <v>8</v>
      </c>
      <c r="M26">
        <v>0</v>
      </c>
      <c r="N26">
        <v>0</v>
      </c>
      <c r="O26">
        <v>8</v>
      </c>
      <c r="P26">
        <v>8</v>
      </c>
      <c r="Q26">
        <v>8</v>
      </c>
      <c r="R26">
        <v>10</v>
      </c>
      <c r="S26">
        <v>6</v>
      </c>
      <c r="T26">
        <v>0</v>
      </c>
      <c r="U26">
        <v>0</v>
      </c>
      <c r="V26">
        <v>2</v>
      </c>
      <c r="W26">
        <v>9.5</v>
      </c>
      <c r="X26">
        <v>9</v>
      </c>
      <c r="Y26">
        <v>8</v>
      </c>
      <c r="Z26">
        <v>10</v>
      </c>
      <c r="AA26">
        <v>0</v>
      </c>
      <c r="AB26">
        <v>0</v>
      </c>
      <c r="AC26">
        <v>9.5</v>
      </c>
      <c r="AD26">
        <v>10</v>
      </c>
      <c r="AE26">
        <v>9</v>
      </c>
      <c r="AF26">
        <v>9</v>
      </c>
      <c r="AG26">
        <v>7</v>
      </c>
      <c r="AH26">
        <v>0</v>
      </c>
      <c r="AI26">
        <v>0</v>
      </c>
      <c r="AJ26">
        <v>0</v>
      </c>
      <c r="AK26">
        <v>163</v>
      </c>
    </row>
    <row r="27" spans="1:40" ht="15.75" customHeight="1">
      <c r="A27" t="s">
        <v>48</v>
      </c>
      <c r="E27"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5" t="s">
        <v>50</v>
      </c>
    </row>
    <row r="2" spans="1:1">
      <c r="A2" s="55" t="s">
        <v>114</v>
      </c>
    </row>
    <row r="3" spans="1:1">
      <c r="A3" s="55" t="s">
        <v>51</v>
      </c>
    </row>
    <row r="4" spans="1:1">
      <c r="A4" s="55" t="s">
        <v>85</v>
      </c>
    </row>
    <row r="5" spans="1:1">
      <c r="A5" s="55" t="s">
        <v>86</v>
      </c>
    </row>
    <row r="6" spans="1:1">
      <c r="A6" s="55" t="s">
        <v>87</v>
      </c>
    </row>
    <row r="7" spans="1:1">
      <c r="A7" s="55" t="s">
        <v>52</v>
      </c>
    </row>
    <row r="8" spans="1:1">
      <c r="A8" s="55" t="s">
        <v>53</v>
      </c>
    </row>
    <row r="9" spans="1:1">
      <c r="A9" s="55" t="s">
        <v>54</v>
      </c>
    </row>
    <row r="10" spans="1:1">
      <c r="A10" s="55" t="s">
        <v>55</v>
      </c>
    </row>
    <row r="11" spans="1:1">
      <c r="A11" s="55" t="s">
        <v>56</v>
      </c>
    </row>
    <row r="12" spans="1:1">
      <c r="A12" s="55" t="s">
        <v>57</v>
      </c>
    </row>
    <row r="13" spans="1:1">
      <c r="A13" s="55" t="s">
        <v>58</v>
      </c>
    </row>
    <row r="14" spans="1:1">
      <c r="A14" s="55" t="s">
        <v>59</v>
      </c>
    </row>
    <row r="15" spans="1:1">
      <c r="A15" s="55" t="s">
        <v>60</v>
      </c>
    </row>
    <row r="16" spans="1:1">
      <c r="A16" s="55" t="s">
        <v>61</v>
      </c>
    </row>
    <row r="17" spans="1:1">
      <c r="A17" s="55" t="s">
        <v>62</v>
      </c>
    </row>
    <row r="18" spans="1:1">
      <c r="A18" s="55" t="s">
        <v>63</v>
      </c>
    </row>
    <row r="19" spans="1:1">
      <c r="A19" s="55" t="s">
        <v>64</v>
      </c>
    </row>
    <row r="20" spans="1:1">
      <c r="A20" s="55" t="s">
        <v>65</v>
      </c>
    </row>
    <row r="21" spans="1:1">
      <c r="A21" s="55" t="s">
        <v>66</v>
      </c>
    </row>
    <row r="22" spans="1:1">
      <c r="A22" s="55" t="s">
        <v>67</v>
      </c>
    </row>
    <row r="23" spans="1:1">
      <c r="A23" s="55" t="s">
        <v>68</v>
      </c>
    </row>
    <row r="24" spans="1:1">
      <c r="A24" s="55" t="s">
        <v>69</v>
      </c>
    </row>
    <row r="25" spans="1:1">
      <c r="A25" s="55" t="s">
        <v>70</v>
      </c>
    </row>
    <row r="26" spans="1:1">
      <c r="A26" s="55" t="s">
        <v>71</v>
      </c>
    </row>
    <row r="27" spans="1:1">
      <c r="A27" s="55" t="s">
        <v>72</v>
      </c>
    </row>
    <row r="28" spans="1:1">
      <c r="A28" s="55" t="s">
        <v>73</v>
      </c>
    </row>
    <row r="29" spans="1:1">
      <c r="A29" s="55" t="s">
        <v>95</v>
      </c>
    </row>
    <row r="30" spans="1:1">
      <c r="A30" s="55" t="s">
        <v>88</v>
      </c>
    </row>
    <row r="31" spans="1:1">
      <c r="A31" s="55" t="s">
        <v>74</v>
      </c>
    </row>
    <row r="32" spans="1:1">
      <c r="A32" s="55" t="s">
        <v>98</v>
      </c>
    </row>
    <row r="33" spans="1:1">
      <c r="A33" s="55" t="s">
        <v>91</v>
      </c>
    </row>
    <row r="34" spans="1:1">
      <c r="A34" s="55" t="s">
        <v>75</v>
      </c>
    </row>
    <row r="35" spans="1:1">
      <c r="A35" s="55" t="s">
        <v>76</v>
      </c>
    </row>
    <row r="36" spans="1:1">
      <c r="A36" s="55" t="s">
        <v>93</v>
      </c>
    </row>
    <row r="37" spans="1:1">
      <c r="A37" s="55" t="s">
        <v>84</v>
      </c>
    </row>
    <row r="38" spans="1:1">
      <c r="A38" s="55" t="s">
        <v>77</v>
      </c>
    </row>
    <row r="39" spans="1:1">
      <c r="A39" s="55" t="s">
        <v>78</v>
      </c>
    </row>
    <row r="40" spans="1:1">
      <c r="A40" s="55" t="s">
        <v>79</v>
      </c>
    </row>
    <row r="41" spans="1:1">
      <c r="A41" s="55" t="s">
        <v>80</v>
      </c>
    </row>
    <row r="42" spans="1:1">
      <c r="A42" s="55" t="s">
        <v>81</v>
      </c>
    </row>
    <row r="43" spans="1:1">
      <c r="A43" s="55" t="s">
        <v>92</v>
      </c>
    </row>
    <row r="44" spans="1:1">
      <c r="A44" s="55" t="s">
        <v>97</v>
      </c>
    </row>
    <row r="45" spans="1:1">
      <c r="A45" s="55" t="s">
        <v>96</v>
      </c>
    </row>
    <row r="46" spans="1:1">
      <c r="A46" s="55" t="s">
        <v>82</v>
      </c>
    </row>
    <row r="47" spans="1:1">
      <c r="A47" s="55" t="s">
        <v>83</v>
      </c>
    </row>
    <row r="48" spans="1:1">
      <c r="A48" s="55"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Roycraft, Elizabeth (Liz) A</DisplayName>
        <AccountId>13</AccountId>
        <AccountType/>
      </UserInfo>
    </SharedWithUsers>
  </documentManagement>
</p:properties>
</file>

<file path=customXml/itemProps1.xml><?xml version="1.0" encoding="utf-8"?>
<ds:datastoreItem xmlns:ds="http://schemas.openxmlformats.org/officeDocument/2006/customXml" ds:itemID="{0DDCA802-D564-492F-9C13-ED107724C88C}">
  <ds:schemaRefs>
    <ds:schemaRef ds:uri="http://schemas.microsoft.com/sharepoint/v3/contenttype/forms"/>
  </ds:schemaRefs>
</ds:datastoreItem>
</file>

<file path=customXml/itemProps2.xml><?xml version="1.0" encoding="utf-8"?>
<ds:datastoreItem xmlns:ds="http://schemas.openxmlformats.org/officeDocument/2006/customXml" ds:itemID="{01E3243F-3CF7-416D-AA75-4C6B2013B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101FD13-0BDE-48B1-AB49-9651861E000B}">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c47652f-73a8-48ef-be6c-b836aab274ca"/>
    <ds:schemaRef ds:uri="http://purl.org/dc/elements/1.1/"/>
    <ds:schemaRef ds:uri="http://schemas.microsoft.com/office/2006/metadata/properties"/>
    <ds:schemaRef ds:uri="1ef09ff2-2e9d-4a2c-946b-e898d1cc0ee0"/>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Roycraft, Elizabeth (Liz) A</cp:lastModifiedBy>
  <dcterms:created xsi:type="dcterms:W3CDTF">2019-07-09T14:54:24Z</dcterms:created>
  <dcterms:modified xsi:type="dcterms:W3CDTF">2020-03-03T00:36:28Z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