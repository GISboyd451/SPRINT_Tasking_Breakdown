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655" documentId="13_ncr:1_{9B4BDE13-54D1-4565-8B5E-10A139975AEB}" xr6:coauthVersionLast="45" xr6:coauthVersionMax="45" xr10:uidLastSave="{62328F67-4DD1-4061-8330-5137A906F6A3}"/>
  <bookViews>
    <workbookView xWindow="-120" yWindow="-120" windowWidth="29040" windowHeight="15840" activeTab="1" xr2:uid="{00000000-000D-0000-FFFF-FFFF00000000}"/>
  </bookViews>
  <sheets>
    <sheet name="TaskingSheet" sheetId="1" r:id="rId1"/>
    <sheet name="Archive" sheetId="2" r:id="rId2"/>
    <sheet name="Sheet3" sheetId="3"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8" i="1" l="1"/>
  <c r="AK8" i="1"/>
  <c r="AL9" i="1" l="1"/>
  <c r="AK9" i="1"/>
  <c r="V28" i="1"/>
  <c r="AL10" i="1" l="1"/>
  <c r="AK10" i="1"/>
  <c r="AL11" i="1" l="1"/>
  <c r="AK11" i="1"/>
  <c r="AL12" i="1" l="1"/>
  <c r="AK12" i="1"/>
  <c r="AL13" i="1" l="1"/>
  <c r="AK13" i="1"/>
  <c r="AL14" i="1" l="1"/>
  <c r="AK14" i="1"/>
  <c r="AL15" i="1"/>
  <c r="AK15" i="1"/>
  <c r="AL16" i="1" l="1"/>
  <c r="AK16" i="1"/>
  <c r="AL17" i="1" l="1"/>
  <c r="AK17" i="1"/>
  <c r="AL18" i="1" l="1"/>
  <c r="AK18" i="1"/>
  <c r="AL19" i="1"/>
  <c r="AK19" i="1"/>
  <c r="AL20" i="1"/>
  <c r="AK20" i="1"/>
  <c r="AL21" i="1"/>
  <c r="AK21" i="1"/>
  <c r="AL22" i="1"/>
  <c r="AK22" i="1"/>
  <c r="AL23" i="1"/>
  <c r="AK23" i="1"/>
  <c r="AL24" i="1"/>
  <c r="AK24" i="1"/>
  <c r="AL25" i="1"/>
  <c r="AK25" i="1"/>
  <c r="AL26" i="1"/>
  <c r="AK26" i="1"/>
  <c r="AL27" i="1"/>
  <c r="AK27" i="1"/>
  <c r="AP7" i="1" l="1"/>
  <c r="B3" i="1" l="1"/>
  <c r="D7" i="1" l="1"/>
  <c r="AQ7" i="1" l="1" a="1"/>
  <c r="AQ7" i="1" s="1"/>
  <c r="AL7" i="1"/>
  <c r="AK7" i="1"/>
  <c r="A7" i="1"/>
  <c r="F6" i="1" a="1"/>
  <c r="AG6" i="1" s="1"/>
  <c r="F5" i="1" a="1"/>
  <c r="AG5" i="1" s="1"/>
  <c r="F4" i="1" a="1"/>
  <c r="AH4" i="1" s="1"/>
  <c r="B4" i="1" a="1"/>
  <c r="B4" i="1" s="1"/>
  <c r="T28" i="1"/>
  <c r="K28" i="1"/>
  <c r="Y28" i="1"/>
  <c r="U28" i="1"/>
  <c r="G28" i="1"/>
  <c r="L28" i="1"/>
  <c r="AK28" i="1"/>
  <c r="AA28" i="1"/>
  <c r="Z28" i="1"/>
  <c r="J28" i="1"/>
  <c r="AH28" i="1"/>
  <c r="AC28" i="1"/>
  <c r="AJ28" i="1"/>
  <c r="AG28" i="1"/>
  <c r="AI28" i="1"/>
  <c r="Q28" i="1"/>
  <c r="M28" i="1"/>
  <c r="AE28" i="1"/>
  <c r="H28" i="1"/>
  <c r="AB28" i="1"/>
  <c r="S28" i="1"/>
  <c r="I28" i="1"/>
  <c r="AD28" i="1"/>
  <c r="W28" i="1"/>
  <c r="R28" i="1"/>
  <c r="P28" i="1"/>
  <c r="N28" i="1"/>
  <c r="AF28" i="1"/>
  <c r="X28" i="1"/>
  <c r="F28" i="1"/>
  <c r="O28" i="1"/>
  <c r="AO7" i="1" l="1" a="1"/>
  <c r="AO7" i="1" s="1"/>
  <c r="B2" i="1" a="1"/>
  <c r="B2" i="1" s="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D5" i="1" l="1"/>
  <c r="AU7" i="1" s="1"/>
  <c r="AJ1" i="1"/>
  <c r="AH1" i="1"/>
  <c r="AI1" i="1"/>
  <c r="D3" i="1"/>
  <c r="D2" i="1" l="1"/>
  <c r="AT7"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<sst xmlns="http://schemas.openxmlformats.org/spreadsheetml/2006/main" count="317" uniqueCount="102">
  <si>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</si>
  <si>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</si>
  <si>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</si>
  <si>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</si>
  <si>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</si>
  <si>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</si>
  <si>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</si>
  <si>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</si>
  <si>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</si>
  <si>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</si>
  <si>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</si>
  <si>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</si>
  <si>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</si>
  <si>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</si>
  <si>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</si>
  <si>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</si>
  <si>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</si>
  <si>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</si>
  <si>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</si>
  <si>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</si>
  <si>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</si>
  <si>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</si>
  <si>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</si>
  <si>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</si>
  <si>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</si>
  <si>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</si>
  <si>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</si>
  <si>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</si>
  <si>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</si>
  <si>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</si>
  <si>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</si>
  <si>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</si>
  <si>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</si>
  <si>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</si>
  <si>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</si>
  <si>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</si>
  <si>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</si>
  <si>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</si>
  <si>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</si>
  <si>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</si>
  <si>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</si>
  <si>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</si>
  <si>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</si>
  <si>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</si>
  <si>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</si>
  <si>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</si>
  <si>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</si>
  <si>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</si>
  <si>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</si>
  <si>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</si>
  <si>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</si>
  <si>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</si>
  <si>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</si>
  <si>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</si>
  <si>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</si>
  <si>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</si>
  <si>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</si>
  <si>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</si>
  <si>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</si>
  <si>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</si>
  <si>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</si>
  <si>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</si>
  <si>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</si>
  <si>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</si>
  <si>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</si>
  <si>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</si>
  <si>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</si>
  <si>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</si>
  <si>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</si>
  <si>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</si>
  <si>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</si>
  <si>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</si>
  <si>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</si>
  <si>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</si>
  <si>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NON BILL Company Overhead</t>
  </si>
  <si>
    <t>NON BILL PTO/Holiday</t>
  </si>
  <si>
    <t>NOC QAQC</t>
  </si>
  <si>
    <t>NOC AGOL</t>
  </si>
  <si>
    <t>NOC Scripting</t>
  </si>
  <si>
    <t>IPR</t>
  </si>
  <si>
    <t>Other</t>
  </si>
  <si>
    <t>Total_Worked_Hours:</t>
  </si>
  <si>
    <t>Tasking Breakdown</t>
  </si>
  <si>
    <t>Metadata</t>
  </si>
  <si>
    <t>Nick_Hall</t>
  </si>
  <si>
    <t>Huddle (Team/PM)</t>
  </si>
  <si>
    <t>1 on 1's</t>
  </si>
  <si>
    <t>Administrative</t>
  </si>
  <si>
    <t>Replication</t>
  </si>
  <si>
    <t>Team Member Training</t>
  </si>
  <si>
    <t>Transition Details</t>
  </si>
  <si>
    <t>Updates</t>
  </si>
  <si>
    <t>Year End Report</t>
  </si>
  <si>
    <t>Story Map</t>
  </si>
  <si>
    <t>January</t>
  </si>
  <si>
    <t>Emails. 1 off questions. Drive Migration Backup. Migration Dealings. IPR Planning w/Tom / GISinc. Kickoff Meeting. Drive Migration follow up and details</t>
  </si>
  <si>
    <t>Setting up IPR</t>
  </si>
  <si>
    <t>January_2020</t>
  </si>
  <si>
    <t>February</t>
  </si>
  <si>
    <t>NOC Meetings</t>
  </si>
  <si>
    <t>February_2020</t>
  </si>
  <si>
    <t>March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</si>
</sst>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1">
    <font>
      <sz val="10"/>
      <color rgb="FF000000"/>
      <name val="Arial"/>
    </font>
    <font>
      <sz val="10"/>
      <name val="Arial"/>
      <family val="2"/>
    </font>
    <font>
      <b/>
      <sz val="12"/>
      <name val="Arial"/>
      <family val="2"/>
    </font>
    <font>
      <b/>
      <sz val="10"/>
      <name val="Arial"/>
      <family val="2"/>
    </font>
    <font>
      <sz val="11"/>
      <color rgb="FF000000"/>
      <name val="Inconsolata"/>
    </font>
    <font>
      <b/>
      <sz val="11"/>
      <color rgb="FF000000"/>
      <name val="Calibri"/>
      <family val="2"/>
    </font>
    <font>
      <sz val="11"/>
      <color rgb="FF000000"/>
      <name val="Calibri"/>
      <family val="2"/>
    </font>
    <font>
      <sz val="10"/>
      <color rgb="FF000000"/>
      <name val="Arial"/>
      <family val="2"/>
    </font>
    <font>
      <b/>
      <sz val="10"/>
      <name val="Arial"/>
      <family val="2"/>
    </font>
    <font>
      <sz val="10"/>
      <name val="Arial"/>
      <family val="2"/>
    </font>
    <font>
      <sz val="10"/>
      <color rgb="FF000000"/>
      <name val="Roboto"/>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3">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7" fillId="0" borderId="0"/>
  </cellStyleXfs>
  <cellXfs count="71">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0" fontId="1" fillId="0" borderId="6" xfId="0" applyFont="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0" fontId="1" fillId="3" borderId="6" xfId="0" applyFont="1" applyFill="1" applyBorder="1" applyAlignment="1">
      <alignment horizontal="right"/>
    </xf>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 fontId="1" fillId="0" borderId="0" xfId="0" applyNumberFormat="1" applyFont="1" applyBorder="1" applyAlignment="1">
      <alignment horizontal="right"/>
    </xf>
    <xf numFmtId="164" fontId="1" fillId="0" borderId="0" xfId="0" applyNumberFormat="1" applyFont="1" applyBorder="1" applyAlignment="1"/>
    <xf numFmtId="164" fontId="6" fillId="0" borderId="4" xfId="0" applyNumberFormat="1" applyFont="1" applyBorder="1" applyAlignment="1"/>
    <xf numFmtId="166" fontId="1" fillId="5" borderId="0" xfId="0" applyNumberFormat="1" applyFont="1" applyFill="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xf numFmtId="164" fontId="9" fillId="0" borderId="6" xfId="0" applyNumberFormat="1" applyFont="1" applyBorder="1" applyAlignment="1"/>
    <xf numFmtId="0" fontId="9" fillId="0" borderId="4" xfId="0" applyFont="1" applyBorder="1" applyAlignment="1"/>
    <xf numFmtId="0" fontId="10" fillId="0" borderId="12" xfId="0" applyFont="1" applyBorder="1" applyAlignment="1"/>
    <xf numFmtId="164" fontId="1" fillId="3" borderId="6" xfId="0" applyNumberFormat="1" applyFont="1" applyFill="1" applyBorder="1" applyAlignment="1">
      <alignment horizontal="right"/>
    </xf>
    <xf numFmtId="164" fontId="1" fillId="3" borderId="0" xfId="0" applyNumberFormat="1" applyFont="1" applyFill="1" applyAlignment="1"/>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95"/>
  <sheetViews>
    <sheetView workbookViewId="0">
      <selection activeCell="AH33" sqref="AH33"/>
    </sheetView>
  </sheetViews>
  <sheetFormatPr defaultColWidth="0" defaultRowHeight="15.75" customHeight="1" zeroHeight="1"/>
  <cols>
    <col min="1" max="2" width="14.42578125" customWidth="1"/>
    <col min="3" max="3" width="20.5703125" bestFit="1" customWidth="1"/>
    <col min="4" max="4" width="14.42578125" customWidth="1"/>
    <col min="5" max="5" width="26.5703125" bestFit="1" customWidth="1"/>
    <col min="6" max="8" width="3.28515625" customWidth="1"/>
    <col min="9" max="9" width="4.5703125" bestFit="1" customWidth="1"/>
    <col min="10" max="15" width="3.28515625" customWidth="1"/>
    <col min="16" max="17" width="4.5703125" bestFit="1" customWidth="1"/>
    <col min="18" max="24" width="3.28515625" customWidth="1"/>
    <col min="25" max="25" width="3.5703125" bestFit="1" customWidth="1"/>
    <col min="26" max="31" width="3.28515625" customWidth="1"/>
    <col min="32" max="33" width="4.5703125" bestFit="1" customWidth="1"/>
    <col min="34" max="34" width="3.5703125" customWidth="1"/>
    <col min="35" max="36" width="3.28515625" customWidth="1"/>
    <col min="37" max="39" width="14.42578125" customWidth="1"/>
    <col min="40" max="40" width="80.5703125" bestFit="1" customWidth="1"/>
    <col min="41"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March_2020</v>
      </c>
      <c r="B1" s="2"/>
      <c r="C1" s="2"/>
      <c r="D1" s="2"/>
      <c r="E1" s="57"/>
      <c r="F1" s="3"/>
      <c r="G1" s="3"/>
      <c r="H1" s="3"/>
      <c r="I1" s="3"/>
      <c r="J1" s="3"/>
      <c r="K1" s="3"/>
      <c r="L1" s="3"/>
      <c r="M1" s="3"/>
      <c r="N1" s="3"/>
      <c r="O1" s="3"/>
      <c r="P1" s="3"/>
      <c r="Q1" s="3"/>
      <c r="R1" s="3"/>
      <c r="S1" s="3"/>
      <c r="T1" s="3"/>
      <c r="U1" s="3"/>
      <c r="V1" s="3"/>
      <c r="W1" s="3"/>
      <c r="X1" s="3"/>
      <c r="Y1" s="3"/>
      <c r="Z1" s="3"/>
      <c r="AA1" s="3"/>
      <c r="AB1" s="3"/>
      <c r="AC1" s="3"/>
      <c r="AD1" s="3"/>
      <c r="AE1" s="3"/>
      <c r="AF1" s="3"/>
      <c r="AG1" s="3"/>
      <c r="AH1" s="45" t="b">
        <f>MONTH(F6)=MONTH(AH6)</f>
        <v>1</v>
      </c>
      <c r="AI1" s="45" t="b">
        <f>MONTH(G6)=MONTH(AI6)</f>
        <v>1</v>
      </c>
      <c r="AJ1" s="45" t="b">
        <f>MONTH(H6)=MONTH(AJ6)</f>
        <v>1</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Breakdown","IPR","Metadata","Huddle (Team/PM)","1 on 1's","Administrative","Replication","Team Member Training","Transition Details","Updates","Year End Report","Story Map"}, AK:AK))</f>
        <v>0</v>
      </c>
      <c r="C2" s="11" t="s">
        <v>45</v>
      </c>
      <c r="D2" s="12" t="str">
        <f>IFERROR(B2/D5,"")</f>
        <v/>
      </c>
      <c r="E2" s="57"/>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0</v>
      </c>
      <c r="C3" s="11" t="s">
        <v>46</v>
      </c>
      <c r="D3" s="12" t="str">
        <f ca="1">IFERROR(B3/B5,"")</f>
        <v/>
      </c>
      <c r="E3" s="57"/>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0</v>
      </c>
      <c r="C4" s="13"/>
      <c r="D4" s="12"/>
      <c r="E4" s="56"/>
      <c r="F4" s="14">
        <f t="array" ref="F4:AJ4">TRANSPOSE(DATE($B$7,MONTH(C7&amp;1),1)+TRANSPOSE(COLUMN($C$1:$AN$1)-3))</f>
        <v>43891</v>
      </c>
      <c r="G4" s="14">
        <v>43892</v>
      </c>
      <c r="H4" s="14">
        <v>43893</v>
      </c>
      <c r="I4" s="14">
        <v>43894</v>
      </c>
      <c r="J4" s="14">
        <v>43895</v>
      </c>
      <c r="K4" s="14">
        <v>43896</v>
      </c>
      <c r="L4" s="14">
        <v>43897</v>
      </c>
      <c r="M4" s="14">
        <v>43898</v>
      </c>
      <c r="N4" s="14">
        <v>43899</v>
      </c>
      <c r="O4" s="14">
        <v>43900</v>
      </c>
      <c r="P4" s="14">
        <v>43901</v>
      </c>
      <c r="Q4" s="14">
        <v>43902</v>
      </c>
      <c r="R4" s="14">
        <v>43903</v>
      </c>
      <c r="S4" s="14">
        <v>43904</v>
      </c>
      <c r="T4" s="14">
        <v>43905</v>
      </c>
      <c r="U4" s="14">
        <v>43906</v>
      </c>
      <c r="V4" s="14">
        <v>43907</v>
      </c>
      <c r="W4" s="14">
        <v>43908</v>
      </c>
      <c r="X4" s="14">
        <v>43909</v>
      </c>
      <c r="Y4" s="14">
        <v>43910</v>
      </c>
      <c r="Z4" s="14">
        <v>43911</v>
      </c>
      <c r="AA4" s="14">
        <v>43912</v>
      </c>
      <c r="AB4" s="14">
        <v>43913</v>
      </c>
      <c r="AC4" s="14">
        <v>43914</v>
      </c>
      <c r="AD4" s="14">
        <v>43915</v>
      </c>
      <c r="AE4" s="14">
        <v>43916</v>
      </c>
      <c r="AF4" s="14">
        <v>43917</v>
      </c>
      <c r="AG4" s="14">
        <v>43918</v>
      </c>
      <c r="AH4" s="14">
        <v>43919</v>
      </c>
      <c r="AI4" s="14">
        <v>43920</v>
      </c>
      <c r="AJ4" s="14">
        <v>43921</v>
      </c>
      <c r="AK4" s="15"/>
      <c r="AL4" s="5"/>
      <c r="AM4" s="3"/>
      <c r="AN4" s="3"/>
      <c r="AO4" s="3"/>
      <c r="AP4" s="3"/>
      <c r="AQ4" s="3"/>
      <c r="AR4" s="3"/>
      <c r="AS4" s="3"/>
      <c r="AT4" s="3"/>
      <c r="AU4" s="3"/>
      <c r="AV4" s="6"/>
    </row>
    <row r="5" spans="1:48" ht="30" customHeight="1">
      <c r="A5" s="16" t="s">
        <v>44</v>
      </c>
      <c r="B5" s="17">
        <f ca="1">AK28</f>
        <v>0</v>
      </c>
      <c r="C5" s="51" t="s">
        <v>81</v>
      </c>
      <c r="D5" s="18">
        <f>B2+B3</f>
        <v>0</v>
      </c>
      <c r="E5" s="53"/>
      <c r="F5" s="47">
        <f t="array" ref="F5:AJ5">TRANSPOSE(DATE($B$7,MONTH(C7&amp;1),1)+TRANSPOSE(COLUMN($C$1:$AN$1)-3))</f>
        <v>43891</v>
      </c>
      <c r="G5" s="49">
        <v>43892</v>
      </c>
      <c r="H5" s="49">
        <v>43893</v>
      </c>
      <c r="I5" s="49">
        <v>43894</v>
      </c>
      <c r="J5" s="49">
        <v>43895</v>
      </c>
      <c r="K5" s="49">
        <v>43896</v>
      </c>
      <c r="L5" s="49">
        <v>43897</v>
      </c>
      <c r="M5" s="49">
        <v>43898</v>
      </c>
      <c r="N5" s="49">
        <v>43899</v>
      </c>
      <c r="O5" s="49">
        <v>43900</v>
      </c>
      <c r="P5" s="49">
        <v>43901</v>
      </c>
      <c r="Q5" s="49">
        <v>43902</v>
      </c>
      <c r="R5" s="49">
        <v>43903</v>
      </c>
      <c r="S5" s="49">
        <v>43904</v>
      </c>
      <c r="T5" s="49">
        <v>43905</v>
      </c>
      <c r="U5" s="49">
        <v>43906</v>
      </c>
      <c r="V5" s="49">
        <v>43907</v>
      </c>
      <c r="W5" s="49">
        <v>43908</v>
      </c>
      <c r="X5" s="49">
        <v>43909</v>
      </c>
      <c r="Y5" s="49">
        <v>43910</v>
      </c>
      <c r="Z5" s="49">
        <v>43911</v>
      </c>
      <c r="AA5" s="49">
        <v>43912</v>
      </c>
      <c r="AB5" s="49">
        <v>43913</v>
      </c>
      <c r="AC5" s="49">
        <v>43914</v>
      </c>
      <c r="AD5" s="49">
        <v>43915</v>
      </c>
      <c r="AE5" s="49">
        <v>43916</v>
      </c>
      <c r="AF5" s="49">
        <v>43917</v>
      </c>
      <c r="AG5" s="49">
        <v>43918</v>
      </c>
      <c r="AH5" s="49">
        <v>43919</v>
      </c>
      <c r="AI5" s="49">
        <v>43920</v>
      </c>
      <c r="AJ5" s="20">
        <v>43921</v>
      </c>
      <c r="AK5" s="21"/>
      <c r="AL5" s="5"/>
      <c r="AM5" s="22"/>
      <c r="AN5" s="23"/>
      <c r="AO5" s="23"/>
      <c r="AP5" s="23"/>
      <c r="AQ5" s="23"/>
      <c r="AR5" s="23"/>
      <c r="AS5" s="23"/>
      <c r="AT5" s="23"/>
      <c r="AU5" s="23"/>
      <c r="AV5" s="24"/>
    </row>
    <row r="6" spans="1:48" ht="15">
      <c r="A6" s="25" t="s">
        <v>0</v>
      </c>
      <c r="B6" s="26" t="s">
        <v>1</v>
      </c>
      <c r="C6" s="26" t="s">
        <v>2</v>
      </c>
      <c r="D6" s="26" t="s">
        <v>3</v>
      </c>
      <c r="E6" s="26" t="s">
        <v>4</v>
      </c>
      <c r="F6" s="48">
        <f t="array" ref="F6:AJ6">TRANSPOSE(DATE($B$7,MONTH(C7&amp;1),1)+TRANSPOSE(COLUMN($C$1:$AN$1)-3))</f>
        <v>43891</v>
      </c>
      <c r="G6" s="50">
        <v>43892</v>
      </c>
      <c r="H6" s="50">
        <v>43893</v>
      </c>
      <c r="I6" s="50">
        <v>43894</v>
      </c>
      <c r="J6" s="50">
        <v>43895</v>
      </c>
      <c r="K6" s="50">
        <v>43896</v>
      </c>
      <c r="L6" s="50">
        <v>43897</v>
      </c>
      <c r="M6" s="50">
        <v>43898</v>
      </c>
      <c r="N6" s="50">
        <v>43899</v>
      </c>
      <c r="O6" s="50">
        <v>43900</v>
      </c>
      <c r="P6" s="50">
        <v>43901</v>
      </c>
      <c r="Q6" s="50">
        <v>43902</v>
      </c>
      <c r="R6" s="50">
        <v>43903</v>
      </c>
      <c r="S6" s="50">
        <v>43904</v>
      </c>
      <c r="T6" s="50">
        <v>43905</v>
      </c>
      <c r="U6" s="50">
        <v>43906</v>
      </c>
      <c r="V6" s="50">
        <v>43907</v>
      </c>
      <c r="W6" s="50">
        <v>43908</v>
      </c>
      <c r="X6" s="50">
        <v>43909</v>
      </c>
      <c r="Y6" s="50">
        <v>43910</v>
      </c>
      <c r="Z6" s="50">
        <v>43911</v>
      </c>
      <c r="AA6" s="50">
        <v>43912</v>
      </c>
      <c r="AB6" s="50">
        <v>43913</v>
      </c>
      <c r="AC6" s="50">
        <v>43914</v>
      </c>
      <c r="AD6" s="50">
        <v>43915</v>
      </c>
      <c r="AE6" s="50">
        <v>43916</v>
      </c>
      <c r="AF6" s="50">
        <v>43917</v>
      </c>
      <c r="AG6" s="50">
        <v>43918</v>
      </c>
      <c r="AH6" s="50">
        <v>43919</v>
      </c>
      <c r="AI6" s="50">
        <v>43920</v>
      </c>
      <c r="AJ6" s="27">
        <v>43921</v>
      </c>
      <c r="AK6" s="28" t="s">
        <v>37</v>
      </c>
      <c r="AL6" s="29"/>
      <c r="AM6" s="30" t="s">
        <v>39</v>
      </c>
      <c r="AN6" s="31" t="s">
        <v>40</v>
      </c>
      <c r="AO6" s="32" t="s">
        <v>35</v>
      </c>
      <c r="AP6" s="32" t="s">
        <v>41</v>
      </c>
      <c r="AQ6" s="32" t="s">
        <v>42</v>
      </c>
      <c r="AR6" s="18"/>
      <c r="AS6" s="32" t="s">
        <v>44</v>
      </c>
      <c r="AT6" s="32" t="s">
        <v>45</v>
      </c>
      <c r="AU6" s="32" t="s">
        <v>46</v>
      </c>
      <c r="AV6" s="33" t="s">
        <v>47</v>
      </c>
    </row>
    <row r="7" spans="1:48" ht="15">
      <c r="A7" s="34">
        <f>IF(
C7 = "January",1,
IF(C7 = "February",2,
IF(C7 = "March",3,
IF(C7 = "April",4,
IF(C7 = "May",5,
IF(C7 = "June",6,
IF(C7 = "July",7,
IF(C7 = "August",8,
IF(C7 = "September",9,
IF(C7 = "October",10,
IF(C7 = "November",11,
IF(C7 = "December",12))))))))))))</f>
        <v>3</v>
      </c>
      <c r="B7" s="35">
        <v>2020</v>
      </c>
      <c r="C7" s="36" t="s">
        <v>101</v>
      </c>
      <c r="D7" s="37" t="str">
        <f>C7&amp;"_"&amp;B7</f>
        <v>March_2020</v>
      </c>
      <c r="E7" s="36" t="s">
        <v>90</v>
      </c>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66"/>
      <c r="AI7" s="36"/>
      <c r="AJ7" s="36"/>
      <c r="AK7" s="38">
        <f t="shared" ref="AK7:AK27" si="0">SUM(F7:AJ7)</f>
        <v>0</v>
      </c>
      <c r="AL7" s="39" t="str">
        <f t="shared" ref="AL7:AL27" si="1">E7</f>
        <v>Transition Details</v>
      </c>
      <c r="AM7" s="19" t="s">
        <v>84</v>
      </c>
      <c r="AN7" s="52"/>
      <c r="AO7" s="40"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Breakdown","IPR","Metadata","Huddle (Team/PM)","1 on 1's","Administrative","Replication","Team Member Training","Transition Details","Updates","Year End Report","Story Map"}, AK:AK))</f>
        <v>0</v>
      </c>
      <c r="AP7" s="40">
        <f>SUM(SUMIF(E:E, {"STATE Data Analysis","STATE Land Disposal","STATE Raster Processing/Management","STATE Data Editing","STATE Data Collection","STATE SMA","STATE Knowledge Transfer","STATE Mapping","STATE Meetings","STATE Training","STATE Travel","STATE VRM","STATE LWC","Testing/Workflow"}, AK:AK))</f>
        <v>0</v>
      </c>
      <c r="AQ7" s="40">
        <f t="array" ref="AQ7">SUM(SUMIF(E:E, {"NON BILL Company Overhead","NON BILL PTO/Holiday"}, AK:AK))</f>
        <v>0</v>
      </c>
      <c r="AR7" s="18"/>
      <c r="AS7" s="41">
        <f ca="1">AK28</f>
        <v>0</v>
      </c>
      <c r="AT7" s="40" t="str">
        <f>IFERROR(AO7/D5,"")</f>
        <v/>
      </c>
      <c r="AU7" s="40" t="str">
        <f>IFERROR(AP7/D5,"")</f>
        <v/>
      </c>
      <c r="AV7" s="42">
        <v>43892.342118055552</v>
      </c>
    </row>
    <row r="8" spans="1:48" ht="15">
      <c r="A8" s="59"/>
      <c r="B8" s="59"/>
      <c r="C8" s="60"/>
      <c r="D8" s="61"/>
      <c r="E8" s="36" t="s">
        <v>54</v>
      </c>
      <c r="F8" s="36"/>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66"/>
      <c r="AI8" s="36"/>
      <c r="AJ8" s="36"/>
      <c r="AK8" s="38">
        <f t="shared" si="0"/>
        <v>0</v>
      </c>
      <c r="AL8" s="39" t="str">
        <f t="shared" si="1"/>
        <v>NOC ADMU</v>
      </c>
      <c r="AM8" s="19" t="s">
        <v>84</v>
      </c>
      <c r="AN8" s="52"/>
      <c r="AO8" s="63"/>
      <c r="AP8" s="63"/>
      <c r="AQ8" s="63"/>
      <c r="AR8" s="64"/>
      <c r="AS8" s="65"/>
      <c r="AT8" s="63"/>
      <c r="AU8" s="63"/>
      <c r="AV8" s="62"/>
    </row>
    <row r="9" spans="1:48" ht="15">
      <c r="A9" s="59"/>
      <c r="B9" s="59"/>
      <c r="C9" s="60"/>
      <c r="D9" s="61"/>
      <c r="E9" s="36" t="s">
        <v>99</v>
      </c>
      <c r="F9" s="36"/>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66"/>
      <c r="AI9" s="36"/>
      <c r="AJ9" s="36"/>
      <c r="AK9" s="38">
        <f t="shared" si="0"/>
        <v>0</v>
      </c>
      <c r="AL9" s="39" t="str">
        <f t="shared" si="1"/>
        <v>NOC Meetings</v>
      </c>
      <c r="AM9" s="19" t="s">
        <v>84</v>
      </c>
      <c r="AN9" s="52"/>
      <c r="AO9" s="63"/>
      <c r="AP9" s="63"/>
      <c r="AQ9" s="63"/>
      <c r="AR9" s="64"/>
      <c r="AS9" s="65"/>
      <c r="AT9" s="63"/>
      <c r="AU9" s="63"/>
      <c r="AV9" s="62"/>
    </row>
    <row r="10" spans="1:48" ht="15">
      <c r="A10" s="59"/>
      <c r="B10" s="59"/>
      <c r="C10" s="60"/>
      <c r="D10" s="61"/>
      <c r="E10" s="36" t="s">
        <v>89</v>
      </c>
      <c r="F10" s="36"/>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66"/>
      <c r="AI10" s="36"/>
      <c r="AJ10" s="36"/>
      <c r="AK10" s="38">
        <f t="shared" si="0"/>
        <v>0</v>
      </c>
      <c r="AL10" s="39" t="str">
        <f t="shared" si="1"/>
        <v>Team Member Training</v>
      </c>
      <c r="AM10" s="19" t="s">
        <v>84</v>
      </c>
      <c r="AN10" s="52"/>
      <c r="AO10" s="63"/>
      <c r="AP10" s="63"/>
      <c r="AQ10" s="63"/>
      <c r="AR10" s="64"/>
      <c r="AS10" s="65"/>
      <c r="AT10" s="63"/>
      <c r="AU10" s="63"/>
      <c r="AV10" s="62"/>
    </row>
    <row r="11" spans="1:48" ht="15">
      <c r="A11" s="59"/>
      <c r="B11" s="59"/>
      <c r="C11" s="60"/>
      <c r="D11" s="61"/>
      <c r="E11" s="36" t="s">
        <v>83</v>
      </c>
      <c r="F11" s="36"/>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66"/>
      <c r="AI11" s="36"/>
      <c r="AJ11" s="36"/>
      <c r="AK11" s="38">
        <f t="shared" si="0"/>
        <v>0</v>
      </c>
      <c r="AL11" s="39" t="str">
        <f t="shared" si="1"/>
        <v>Metadata</v>
      </c>
      <c r="AM11" s="19" t="s">
        <v>84</v>
      </c>
      <c r="AN11" s="52"/>
      <c r="AO11" s="63"/>
      <c r="AP11" s="63"/>
      <c r="AQ11" s="63"/>
      <c r="AR11" s="64"/>
      <c r="AS11" s="65"/>
      <c r="AT11" s="63"/>
      <c r="AU11" s="63"/>
      <c r="AV11" s="62"/>
    </row>
    <row r="12" spans="1:48" ht="15">
      <c r="A12" s="59"/>
      <c r="B12" s="59"/>
      <c r="C12" s="60"/>
      <c r="D12" s="61"/>
      <c r="E12" s="36" t="s">
        <v>79</v>
      </c>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66"/>
      <c r="AI12" s="36"/>
      <c r="AJ12" s="36"/>
      <c r="AK12" s="38">
        <f t="shared" si="0"/>
        <v>0</v>
      </c>
      <c r="AL12" s="39" t="str">
        <f t="shared" si="1"/>
        <v>IPR</v>
      </c>
      <c r="AM12" s="19" t="s">
        <v>84</v>
      </c>
      <c r="AN12" s="52"/>
      <c r="AO12" s="63"/>
      <c r="AP12" s="63"/>
      <c r="AQ12" s="63"/>
      <c r="AR12" s="64"/>
      <c r="AS12" s="65"/>
      <c r="AT12" s="63"/>
      <c r="AU12" s="63"/>
      <c r="AV12" s="62"/>
    </row>
    <row r="13" spans="1:48" ht="15">
      <c r="A13" s="59"/>
      <c r="B13" s="59"/>
      <c r="C13" s="60"/>
      <c r="D13" s="61"/>
      <c r="E13" s="36" t="s">
        <v>61</v>
      </c>
      <c r="F13" s="36"/>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66"/>
      <c r="AI13" s="36"/>
      <c r="AJ13" s="36"/>
      <c r="AK13" s="38">
        <f t="shared" si="0"/>
        <v>0</v>
      </c>
      <c r="AL13" s="39" t="str">
        <f t="shared" si="1"/>
        <v>NOC PLSS</v>
      </c>
      <c r="AM13" s="19" t="s">
        <v>84</v>
      </c>
      <c r="AN13" s="52"/>
      <c r="AO13" s="63"/>
      <c r="AP13" s="63"/>
      <c r="AQ13" s="63"/>
      <c r="AR13" s="64"/>
      <c r="AS13" s="65"/>
      <c r="AT13" s="63"/>
      <c r="AU13" s="63"/>
      <c r="AV13" s="62"/>
    </row>
    <row r="14" spans="1:48" ht="15">
      <c r="A14" s="59"/>
      <c r="B14" s="59"/>
      <c r="C14" s="60"/>
      <c r="D14" s="61"/>
      <c r="E14" s="36" t="s">
        <v>64</v>
      </c>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H14" s="66"/>
      <c r="AI14" s="36"/>
      <c r="AJ14" s="36"/>
      <c r="AK14" s="38">
        <f t="shared" si="0"/>
        <v>0</v>
      </c>
      <c r="AL14" s="39" t="str">
        <f t="shared" si="1"/>
        <v>NOC SIGNS</v>
      </c>
      <c r="AM14" s="19" t="s">
        <v>84</v>
      </c>
      <c r="AN14" s="52"/>
      <c r="AO14" s="63"/>
      <c r="AP14" s="63"/>
      <c r="AQ14" s="63"/>
      <c r="AR14" s="64"/>
      <c r="AS14" s="65"/>
      <c r="AT14" s="63"/>
      <c r="AU14" s="63"/>
      <c r="AV14" s="62"/>
    </row>
    <row r="15" spans="1:48" ht="15">
      <c r="A15" s="59"/>
      <c r="B15" s="59"/>
      <c r="C15" s="60"/>
      <c r="D15" s="61"/>
      <c r="E15" s="36" t="s">
        <v>58</v>
      </c>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66"/>
      <c r="AI15" s="36"/>
      <c r="AJ15" s="36"/>
      <c r="AK15" s="38">
        <f t="shared" si="0"/>
        <v>0</v>
      </c>
      <c r="AL15" s="39" t="str">
        <f t="shared" si="1"/>
        <v>NOC GTLF</v>
      </c>
      <c r="AM15" s="19" t="s">
        <v>84</v>
      </c>
      <c r="AN15" s="52"/>
      <c r="AO15" s="63"/>
      <c r="AP15" s="63"/>
      <c r="AQ15" s="63"/>
      <c r="AR15" s="64"/>
      <c r="AS15" s="65"/>
      <c r="AT15" s="63"/>
      <c r="AU15" s="63"/>
      <c r="AV15" s="62"/>
    </row>
    <row r="16" spans="1:48" ht="15">
      <c r="A16" s="59"/>
      <c r="B16" s="59"/>
      <c r="C16" s="60"/>
      <c r="D16" s="61"/>
      <c r="E16" s="36" t="s">
        <v>76</v>
      </c>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66"/>
      <c r="AI16" s="36"/>
      <c r="AJ16" s="36"/>
      <c r="AK16" s="38">
        <f t="shared" si="0"/>
        <v>0</v>
      </c>
      <c r="AL16" s="39" t="str">
        <f t="shared" si="1"/>
        <v>NOC QAQC</v>
      </c>
      <c r="AM16" s="19" t="s">
        <v>84</v>
      </c>
      <c r="AN16" s="52"/>
      <c r="AO16" s="63"/>
      <c r="AP16" s="63"/>
      <c r="AQ16" s="63"/>
      <c r="AR16" s="64"/>
      <c r="AS16" s="65"/>
      <c r="AT16" s="63"/>
      <c r="AU16" s="63"/>
      <c r="AV16" s="62"/>
    </row>
    <row r="17" spans="1:48" ht="15">
      <c r="A17" s="59"/>
      <c r="B17" s="59"/>
      <c r="C17" s="60"/>
      <c r="D17" s="61"/>
      <c r="E17" s="36" t="s">
        <v>60</v>
      </c>
      <c r="F17" s="36"/>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
      <c r="AI17" s="36"/>
      <c r="AJ17" s="36"/>
      <c r="AK17" s="38">
        <f t="shared" si="0"/>
        <v>0</v>
      </c>
      <c r="AL17" s="39" t="str">
        <f t="shared" si="1"/>
        <v>NOC NLCS</v>
      </c>
      <c r="AM17" s="19" t="s">
        <v>84</v>
      </c>
      <c r="AN17" s="52"/>
      <c r="AO17" s="63"/>
      <c r="AP17" s="63"/>
      <c r="AQ17" s="63"/>
      <c r="AR17" s="64"/>
      <c r="AS17" s="65"/>
      <c r="AT17" s="63"/>
      <c r="AU17" s="63"/>
      <c r="AV17" s="62"/>
    </row>
    <row r="18" spans="1:48" ht="15">
      <c r="A18" s="59"/>
      <c r="B18" s="59"/>
      <c r="C18" s="60"/>
      <c r="D18" s="61"/>
      <c r="E18" s="36" t="s">
        <v>92</v>
      </c>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6"/>
      <c r="AI18" s="36"/>
      <c r="AJ18" s="36"/>
      <c r="AK18" s="38">
        <f t="shared" si="0"/>
        <v>0</v>
      </c>
      <c r="AL18" s="39" t="str">
        <f t="shared" si="1"/>
        <v>Year End Report</v>
      </c>
      <c r="AM18" s="19" t="s">
        <v>84</v>
      </c>
      <c r="AN18" s="52"/>
      <c r="AO18" s="63"/>
      <c r="AP18" s="63"/>
      <c r="AQ18" s="63"/>
      <c r="AR18" s="64"/>
      <c r="AS18" s="65"/>
      <c r="AT18" s="63"/>
      <c r="AU18" s="63"/>
      <c r="AV18" s="62"/>
    </row>
    <row r="19" spans="1:48" ht="15">
      <c r="A19" s="59"/>
      <c r="B19" s="59"/>
      <c r="C19" s="60"/>
      <c r="D19" s="61"/>
      <c r="E19" s="36" t="s">
        <v>88</v>
      </c>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66"/>
      <c r="AI19" s="36"/>
      <c r="AJ19" s="36"/>
      <c r="AK19" s="38">
        <f t="shared" si="0"/>
        <v>0</v>
      </c>
      <c r="AL19" s="39" t="str">
        <f t="shared" si="1"/>
        <v>Replication</v>
      </c>
      <c r="AM19" s="19" t="s">
        <v>84</v>
      </c>
      <c r="AN19" s="52"/>
      <c r="AO19" s="63"/>
      <c r="AP19" s="63"/>
      <c r="AQ19" s="63"/>
      <c r="AR19" s="64"/>
      <c r="AS19" s="65"/>
      <c r="AT19" s="63"/>
      <c r="AU19" s="63"/>
      <c r="AV19" s="62"/>
    </row>
    <row r="20" spans="1:48" ht="15">
      <c r="A20" s="59"/>
      <c r="B20" s="59"/>
      <c r="C20" s="60"/>
      <c r="D20" s="61"/>
      <c r="E20" s="36" t="s">
        <v>82</v>
      </c>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66"/>
      <c r="AI20" s="36"/>
      <c r="AJ20" s="36"/>
      <c r="AK20" s="38">
        <f t="shared" si="0"/>
        <v>0</v>
      </c>
      <c r="AL20" s="39" t="str">
        <f t="shared" si="1"/>
        <v>Tasking Breakdown</v>
      </c>
      <c r="AM20" s="19" t="s">
        <v>84</v>
      </c>
      <c r="AN20" s="52"/>
      <c r="AO20" s="63"/>
      <c r="AP20" s="63"/>
      <c r="AQ20" s="63"/>
      <c r="AR20" s="64"/>
      <c r="AS20" s="65"/>
      <c r="AT20" s="63"/>
      <c r="AU20" s="63"/>
      <c r="AV20" s="62"/>
    </row>
    <row r="21" spans="1:48" ht="15">
      <c r="A21" s="59"/>
      <c r="B21" s="59"/>
      <c r="C21" s="60"/>
      <c r="D21" s="61"/>
      <c r="E21" s="36" t="s">
        <v>91</v>
      </c>
      <c r="F21" s="36"/>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66"/>
      <c r="AI21" s="36"/>
      <c r="AJ21" s="36"/>
      <c r="AK21" s="38">
        <f t="shared" si="0"/>
        <v>0</v>
      </c>
      <c r="AL21" s="39" t="str">
        <f t="shared" si="1"/>
        <v>Updates</v>
      </c>
      <c r="AM21" s="19" t="s">
        <v>84</v>
      </c>
      <c r="AN21" s="52"/>
      <c r="AO21" s="63"/>
      <c r="AP21" s="63"/>
      <c r="AQ21" s="63"/>
      <c r="AR21" s="64"/>
      <c r="AS21" s="65"/>
      <c r="AT21" s="63"/>
      <c r="AU21" s="63"/>
      <c r="AV21" s="62"/>
    </row>
    <row r="22" spans="1:48" ht="15">
      <c r="A22" s="59"/>
      <c r="B22" s="59"/>
      <c r="C22" s="60"/>
      <c r="D22" s="61"/>
      <c r="E22" s="36" t="s">
        <v>85</v>
      </c>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66"/>
      <c r="AI22" s="36"/>
      <c r="AJ22" s="36"/>
      <c r="AK22" s="38">
        <f t="shared" si="0"/>
        <v>0</v>
      </c>
      <c r="AL22" s="39" t="str">
        <f t="shared" si="1"/>
        <v>Huddle (Team/PM)</v>
      </c>
      <c r="AM22" s="19" t="s">
        <v>84</v>
      </c>
      <c r="AN22" s="19"/>
      <c r="AO22" s="63"/>
      <c r="AP22" s="63"/>
      <c r="AQ22" s="63"/>
      <c r="AR22" s="64"/>
      <c r="AS22" s="65"/>
      <c r="AT22" s="63"/>
      <c r="AU22" s="63"/>
      <c r="AV22" s="62"/>
    </row>
    <row r="23" spans="1:48" ht="15">
      <c r="A23" s="59"/>
      <c r="B23" s="59"/>
      <c r="C23" s="60"/>
      <c r="D23" s="61"/>
      <c r="E23" s="36" t="s">
        <v>86</v>
      </c>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H23" s="66"/>
      <c r="AI23" s="36"/>
      <c r="AJ23" s="36"/>
      <c r="AK23" s="38">
        <f t="shared" si="0"/>
        <v>0</v>
      </c>
      <c r="AL23" s="39" t="str">
        <f t="shared" si="1"/>
        <v>1 on 1's</v>
      </c>
      <c r="AM23" s="19" t="s">
        <v>84</v>
      </c>
      <c r="AN23" s="52"/>
      <c r="AO23" s="63"/>
      <c r="AP23" s="63"/>
      <c r="AQ23" s="63"/>
      <c r="AR23" s="64"/>
      <c r="AS23" s="65"/>
      <c r="AT23" s="63"/>
      <c r="AU23" s="63"/>
      <c r="AV23" s="62"/>
    </row>
    <row r="24" spans="1:48" ht="15">
      <c r="A24" s="59"/>
      <c r="B24" s="59"/>
      <c r="C24" s="60"/>
      <c r="D24" s="61"/>
      <c r="E24" s="36" t="s">
        <v>87</v>
      </c>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66"/>
      <c r="AI24" s="36"/>
      <c r="AJ24" s="36"/>
      <c r="AK24" s="38">
        <f t="shared" si="0"/>
        <v>0</v>
      </c>
      <c r="AL24" s="39" t="str">
        <f t="shared" si="1"/>
        <v>Administrative</v>
      </c>
      <c r="AM24" s="19" t="s">
        <v>84</v>
      </c>
      <c r="AN24" s="67"/>
      <c r="AO24" s="63"/>
      <c r="AP24" s="63"/>
      <c r="AQ24" s="63"/>
      <c r="AR24" s="64"/>
      <c r="AS24" s="65"/>
      <c r="AT24" s="63"/>
      <c r="AU24" s="63"/>
      <c r="AV24" s="62"/>
    </row>
    <row r="25" spans="1:48">
      <c r="A25" s="59"/>
      <c r="B25" s="59"/>
      <c r="C25" s="60"/>
      <c r="D25" s="61"/>
      <c r="E25" s="36" t="s">
        <v>50</v>
      </c>
      <c r="F25" s="36"/>
      <c r="G25" s="36"/>
      <c r="H25" s="36"/>
      <c r="I25" s="36"/>
      <c r="J25" s="36"/>
      <c r="K25" s="36"/>
      <c r="L25" s="36"/>
      <c r="M25" s="36"/>
      <c r="N25" s="36"/>
      <c r="O25" s="36"/>
      <c r="P25" s="36"/>
      <c r="Q25" s="36"/>
      <c r="R25" s="36"/>
      <c r="S25" s="36"/>
      <c r="T25" s="36"/>
      <c r="U25" s="36"/>
      <c r="V25" s="36"/>
      <c r="W25" s="36"/>
      <c r="X25" s="36"/>
      <c r="Y25" s="36"/>
      <c r="Z25" s="36"/>
      <c r="AA25" s="36"/>
      <c r="AB25" s="36"/>
      <c r="AC25" s="36"/>
      <c r="AD25" s="36"/>
      <c r="AE25" s="36"/>
      <c r="AF25" s="36"/>
      <c r="AG25" s="36"/>
      <c r="AH25" s="66"/>
      <c r="AI25" s="36"/>
      <c r="AJ25" s="36"/>
      <c r="AK25" s="38">
        <f t="shared" si="0"/>
        <v>0</v>
      </c>
      <c r="AL25" s="39" t="str">
        <f t="shared" si="1"/>
        <v>NOC Misc</v>
      </c>
      <c r="AM25" s="2" t="s">
        <v>84</v>
      </c>
      <c r="AN25" s="68"/>
      <c r="AO25" s="63"/>
      <c r="AP25" s="63"/>
      <c r="AQ25" s="63"/>
      <c r="AR25" s="64"/>
      <c r="AS25" s="65"/>
      <c r="AT25" s="63"/>
      <c r="AU25" s="63"/>
      <c r="AV25" s="62"/>
    </row>
    <row r="26" spans="1:48" ht="15">
      <c r="A26" s="59"/>
      <c r="B26" s="59"/>
      <c r="C26" s="60"/>
      <c r="D26" s="61"/>
      <c r="E26" s="36" t="s">
        <v>74</v>
      </c>
      <c r="F26" s="36"/>
      <c r="G26" s="36"/>
      <c r="H26" s="36"/>
      <c r="I26" s="36"/>
      <c r="J26" s="36"/>
      <c r="K26" s="36"/>
      <c r="L26" s="36"/>
      <c r="M26" s="36"/>
      <c r="N26" s="36"/>
      <c r="O26" s="36"/>
      <c r="P26" s="36"/>
      <c r="Q26" s="36"/>
      <c r="R26" s="36"/>
      <c r="S26" s="36"/>
      <c r="T26" s="36"/>
      <c r="U26" s="36"/>
      <c r="V26" s="36"/>
      <c r="W26" s="36"/>
      <c r="X26" s="36"/>
      <c r="Y26" s="36"/>
      <c r="Z26" s="36"/>
      <c r="AA26" s="36"/>
      <c r="AB26" s="36"/>
      <c r="AC26" s="36"/>
      <c r="AD26" s="36"/>
      <c r="AE26" s="36"/>
      <c r="AF26" s="36"/>
      <c r="AG26" s="36"/>
      <c r="AH26" s="66"/>
      <c r="AI26" s="36"/>
      <c r="AJ26" s="36"/>
      <c r="AK26" s="38">
        <f t="shared" si="0"/>
        <v>0</v>
      </c>
      <c r="AL26" s="39" t="str">
        <f t="shared" si="1"/>
        <v>NON BILL Company Overhead</v>
      </c>
      <c r="AM26" s="19" t="s">
        <v>84</v>
      </c>
      <c r="AN26" s="52"/>
      <c r="AO26" s="63"/>
      <c r="AP26" s="63"/>
      <c r="AQ26" s="63"/>
      <c r="AR26" s="64"/>
      <c r="AS26" s="65"/>
      <c r="AT26" s="63"/>
      <c r="AU26" s="63"/>
      <c r="AV26" s="62"/>
    </row>
    <row r="27" spans="1:48" ht="15">
      <c r="A27" s="59"/>
      <c r="B27" s="59"/>
      <c r="C27" s="60"/>
      <c r="D27" s="61"/>
      <c r="E27" s="36" t="s">
        <v>75</v>
      </c>
      <c r="F27" s="36"/>
      <c r="G27" s="36"/>
      <c r="H27" s="36"/>
      <c r="I27" s="36"/>
      <c r="J27" s="36"/>
      <c r="K27" s="36"/>
      <c r="L27" s="36"/>
      <c r="M27" s="36"/>
      <c r="N27" s="36"/>
      <c r="O27" s="36"/>
      <c r="P27" s="36"/>
      <c r="Q27" s="36"/>
      <c r="R27" s="36"/>
      <c r="S27" s="36"/>
      <c r="T27" s="36"/>
      <c r="U27" s="36"/>
      <c r="V27" s="36"/>
      <c r="W27" s="36"/>
      <c r="X27" s="36"/>
      <c r="Y27" s="36"/>
      <c r="Z27" s="36"/>
      <c r="AA27" s="36"/>
      <c r="AB27" s="36"/>
      <c r="AC27" s="36"/>
      <c r="AD27" s="36"/>
      <c r="AE27" s="36"/>
      <c r="AF27" s="36"/>
      <c r="AG27" s="36"/>
      <c r="AH27" s="66"/>
      <c r="AI27" s="36"/>
      <c r="AJ27" s="36"/>
      <c r="AK27" s="38">
        <f t="shared" si="0"/>
        <v>0</v>
      </c>
      <c r="AL27" s="39" t="str">
        <f t="shared" si="1"/>
        <v>NON BILL PTO/Holiday</v>
      </c>
      <c r="AM27" s="19" t="s">
        <v>84</v>
      </c>
      <c r="AN27" s="52"/>
      <c r="AO27" s="63"/>
      <c r="AP27" s="63"/>
      <c r="AQ27" s="63"/>
      <c r="AR27" s="64"/>
      <c r="AS27" s="65"/>
      <c r="AT27" s="63"/>
      <c r="AU27" s="63"/>
      <c r="AV27" s="62"/>
    </row>
    <row r="28" spans="1:48" ht="15.75" customHeight="1">
      <c r="A28" s="43" t="s">
        <v>48</v>
      </c>
      <c r="B28" s="3"/>
      <c r="C28" s="3"/>
      <c r="D28" s="44"/>
      <c r="E28" s="28" t="s">
        <v>37</v>
      </c>
      <c r="F28" s="69">
        <f ca="1">SUM(INDIRECT("F7:F"&amp;ROW()-1))</f>
        <v>0</v>
      </c>
      <c r="G28" s="69">
        <f ca="1">SUM(INDIRECT("G7:G"&amp;ROW()-1))</f>
        <v>0</v>
      </c>
      <c r="H28" s="69">
        <f ca="1">SUM(INDIRECT("H7:H"&amp;ROW()-1))</f>
        <v>0</v>
      </c>
      <c r="I28" s="69">
        <f ca="1">SUM(INDIRECT("I7:I"&amp;ROW()-1))</f>
        <v>0</v>
      </c>
      <c r="J28" s="69">
        <f ca="1">SUM(INDIRECT("J7:J"&amp;ROW()-1))</f>
        <v>0</v>
      </c>
      <c r="K28" s="69">
        <f ca="1">SUM(INDIRECT("K7:K"&amp;ROW()-1))</f>
        <v>0</v>
      </c>
      <c r="L28" s="69">
        <f ca="1">SUM(INDIRECT("L7:L"&amp;ROW()-1))</f>
        <v>0</v>
      </c>
      <c r="M28" s="69">
        <f ca="1">SUM(INDIRECT("M7:M"&amp;ROW()-1))</f>
        <v>0</v>
      </c>
      <c r="N28" s="69">
        <f ca="1">SUM(INDIRECT("N7:N"&amp;ROW()-1))</f>
        <v>0</v>
      </c>
      <c r="O28" s="69">
        <f ca="1">SUM(INDIRECT("O7:O"&amp;ROW()-1))</f>
        <v>0</v>
      </c>
      <c r="P28" s="69">
        <f ca="1">SUM(INDIRECT("P7:P"&amp;ROW()-1))</f>
        <v>0</v>
      </c>
      <c r="Q28" s="69">
        <f ca="1">SUM(INDIRECT("Q7:Q"&amp;ROW()-1))</f>
        <v>0</v>
      </c>
      <c r="R28" s="69">
        <f ca="1">SUM(INDIRECT("R7:R"&amp;ROW()-1))</f>
        <v>0</v>
      </c>
      <c r="S28" s="69">
        <f ca="1">SUM(INDIRECT("S7:S"&amp;ROW()-1))</f>
        <v>0</v>
      </c>
      <c r="T28" s="69">
        <f ca="1">SUM(INDIRECT("T7:T"&amp;ROW()-1))</f>
        <v>0</v>
      </c>
      <c r="U28" s="69">
        <f ca="1">SUM(INDIRECT("U7:U"&amp;ROW()-1))</f>
        <v>0</v>
      </c>
      <c r="V28" s="69">
        <f ca="1">SUM(INDIRECT("V7:V"&amp;ROW()-1))</f>
        <v>0</v>
      </c>
      <c r="W28" s="69">
        <f ca="1">SUM(INDIRECT("W7:W"&amp;ROW()-1))</f>
        <v>0</v>
      </c>
      <c r="X28" s="69">
        <f ca="1">SUM(INDIRECT("X7:X"&amp;ROW()-1))</f>
        <v>0</v>
      </c>
      <c r="Y28" s="69">
        <f ca="1">SUM(INDIRECT("Y7:Y"&amp;ROW()-1))</f>
        <v>0</v>
      </c>
      <c r="Z28" s="69">
        <f ca="1">SUM(INDIRECT("Z7:Z"&amp;ROW()-1))</f>
        <v>0</v>
      </c>
      <c r="AA28" s="69">
        <f ca="1">SUM(INDIRECT("AA7:AA"&amp;ROW()-1))</f>
        <v>0</v>
      </c>
      <c r="AB28" s="69">
        <f ca="1">SUM(INDIRECT("AB7:AB"&amp;ROW()-1))</f>
        <v>0</v>
      </c>
      <c r="AC28" s="69">
        <f ca="1">SUM(INDIRECT("AC7:AC"&amp;ROW()-1))</f>
        <v>0</v>
      </c>
      <c r="AD28" s="69">
        <f ca="1">SUM(INDIRECT("AD7:AD"&amp;ROW()-1))</f>
        <v>0</v>
      </c>
      <c r="AE28" s="69">
        <f ca="1">SUM(INDIRECT("AE7:AE"&amp;ROW()-1))</f>
        <v>0</v>
      </c>
      <c r="AF28" s="69">
        <f ca="1">SUM(INDIRECT("AF7:AF"&amp;ROW()-1))</f>
        <v>0</v>
      </c>
      <c r="AG28" s="69">
        <f ca="1">SUM(INDIRECT("AG7:AG"&amp;ROW()-1))</f>
        <v>0</v>
      </c>
      <c r="AH28" s="69">
        <f ca="1">SUM(INDIRECT("AH7:AH"&amp;ROW()-1))</f>
        <v>0</v>
      </c>
      <c r="AI28" s="69">
        <f ca="1">SUM(INDIRECT("AI7:AI"&amp;ROW()-1))</f>
        <v>0</v>
      </c>
      <c r="AJ28" s="69">
        <f ca="1">SUM(INDIRECT("AJ7:AJ"&amp;ROW()-1))</f>
        <v>0</v>
      </c>
      <c r="AK28" s="69">
        <f ca="1">SUM(INDIRECT("AK7:AK"&amp;ROW()-1))</f>
        <v>0</v>
      </c>
      <c r="AL28" s="45"/>
      <c r="AM28" s="3"/>
      <c r="AN28" s="3"/>
      <c r="AO28" s="3"/>
      <c r="AP28" s="3"/>
      <c r="AQ28" s="3"/>
      <c r="AR28" s="3"/>
      <c r="AS28" s="3"/>
      <c r="AT28" s="3"/>
      <c r="AU28" s="3"/>
      <c r="AV28" s="6"/>
    </row>
    <row r="29" spans="1:48" ht="15.75" customHeight="1">
      <c r="A29" s="43" t="s">
        <v>48</v>
      </c>
      <c r="B29" s="3"/>
      <c r="C29" s="3"/>
      <c r="D29" s="3"/>
      <c r="E29" s="46" t="s">
        <v>49</v>
      </c>
      <c r="F29" s="70"/>
      <c r="G29" s="70"/>
      <c r="H29" s="70"/>
      <c r="I29" s="70"/>
      <c r="J29" s="70"/>
      <c r="K29" s="70"/>
      <c r="L29" s="70"/>
      <c r="M29" s="70"/>
      <c r="N29" s="70"/>
      <c r="O29" s="70"/>
      <c r="P29" s="70"/>
      <c r="Q29" s="70"/>
      <c r="R29" s="70"/>
      <c r="S29" s="70"/>
      <c r="T29" s="70"/>
      <c r="U29" s="70"/>
      <c r="V29" s="70"/>
      <c r="W29" s="70"/>
      <c r="X29" s="70"/>
      <c r="Y29" s="70"/>
      <c r="Z29" s="70"/>
      <c r="AA29" s="70"/>
      <c r="AB29" s="70"/>
      <c r="AC29" s="70"/>
      <c r="AD29" s="70"/>
      <c r="AE29" s="70"/>
      <c r="AF29" s="70"/>
      <c r="AG29" s="70"/>
      <c r="AH29" s="70"/>
      <c r="AI29" s="70"/>
      <c r="AJ29" s="70"/>
      <c r="AK29" s="70"/>
      <c r="AL29" s="45"/>
      <c r="AM29" s="3"/>
      <c r="AN29" s="3"/>
      <c r="AO29" s="3"/>
      <c r="AP29" s="3"/>
      <c r="AQ29" s="3"/>
      <c r="AR29" s="3"/>
      <c r="AS29" s="3"/>
      <c r="AT29" s="3"/>
      <c r="AU29" s="3"/>
      <c r="AV29" s="6"/>
    </row>
    <row r="30" spans="1:48" ht="15.75" customHeight="1"/>
    <row r="31" spans="1:48" ht="15.75" customHeight="1"/>
    <row r="32" spans="1:48"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sheetData>
  <conditionalFormatting sqref="F1:AJ29">
    <cfRule type="expression" dxfId="9" priority="12">
      <formula>F$4=TODAY()</formula>
    </cfRule>
  </conditionalFormatting>
  <conditionalFormatting sqref="AH1:AJ29">
    <cfRule type="expression" dxfId="8" priority="13">
      <formula>AH$5=""</formula>
    </cfRule>
  </conditionalFormatting>
  <conditionalFormatting sqref="F1:AJ29">
    <cfRule type="expression" dxfId="7" priority="14">
      <formula>OR(WEEKDAY(F$5)=1,WEEKDAY(F$5)=7)</formula>
    </cfRule>
  </conditionalFormatting>
  <conditionalFormatting sqref="A28:AV29 A26:AN27 A25:AM25 A1:AV7 AV8:AV27 A8:AN24">
    <cfRule type="expression" dxfId="6" priority="15">
      <formula>$E1="NON BILL PTO/Holiday"</formula>
    </cfRule>
  </conditionalFormatting>
  <conditionalFormatting sqref="A28:AV29 A26:AN27 A25:AM25 A1:AV7 AV8:AV27 A8:AN24">
    <cfRule type="expression" dxfId="5" priority="16">
      <formula>$E1="NON BILL Company Overhead"</formula>
    </cfRule>
  </conditionalFormatting>
  <conditionalFormatting sqref="AH1:AH1048576">
    <cfRule type="expression" dxfId="4" priority="6">
      <formula>$AH$1=FALSE</formula>
    </cfRule>
  </conditionalFormatting>
  <conditionalFormatting sqref="AI1:AI1048576">
    <cfRule type="expression" dxfId="3" priority="5">
      <formula>$AI$1=FALSE</formula>
    </cfRule>
  </conditionalFormatting>
  <conditionalFormatting sqref="AJ1:AJ1048576">
    <cfRule type="expression" dxfId="2" priority="4">
      <formula>$AJ$1=FALSE</formula>
    </cfRule>
  </conditionalFormatting>
  <conditionalFormatting sqref="AL1:AL1048576">
    <cfRule type="duplicateValues" dxfId="1" priority="2"/>
  </conditionalFormatting>
  <conditionalFormatting sqref="E1:E1048576">
    <cfRule type="duplicateValues" dxfId="0" priority="1"/>
  </conditionalFormatting>
  <dataValidations count="2">
    <dataValidation type="list" allowBlank="1" sqref="B7:B27" xr:uid="{00000000-0002-0000-0000-000000000000}">
      <formula1>"2019,2020,2021,2022,2023,2024,2025,2026,2027,2028,2029,2030"</formula1>
    </dataValidation>
    <dataValidation type="list" allowBlank="1" sqref="C7:C27"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OFFSET(Sheet3!$A$1,0,0,COUNTA(Sheet3!$A:$A),1)</xm:f>
          </x14:formula1>
          <xm:sqref>E7:E27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44"/>
  <sheetViews>
    <sheetView tabSelected="1" topLeftCell="V16" workbookViewId="0">
      <selection activeCell="AC22" sqref="AC22:AG44"/>
    </sheetView>
  </sheetViews>
  <sheetFormatPr defaultColWidth="14.42578125" defaultRowHeight="15.75" customHeight="1"/>
  <cols>
    <col min="48" max="48" width="14.42578125" style="55"/>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4"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5" t="s">
        <v>47</v>
      </c>
    </row>
    <row r="3" spans="1:48" ht="15.75" customHeight="1">
      <c r="A3">
        <v>1</v>
      </c>
      <c r="B3">
        <v>2020</v>
      </c>
      <c r="C3" t="s">
        <v>94</v>
      </c>
      <c r="D3" t="s">
        <v>97</v>
      </c>
      <c r="E3" t="s">
        <v>90</v>
      </c>
      <c r="K3">
        <v>0.5</v>
      </c>
      <c r="L3">
        <v>1</v>
      </c>
      <c r="N3">
        <v>1</v>
      </c>
      <c r="O3">
        <v>0.5</v>
      </c>
      <c r="R3">
        <v>1</v>
      </c>
      <c r="S3">
        <v>1.5</v>
      </c>
      <c r="T3">
        <v>1</v>
      </c>
      <c r="U3">
        <v>0.5</v>
      </c>
      <c r="V3">
        <v>1</v>
      </c>
      <c r="Z3">
        <v>2</v>
      </c>
      <c r="AA3">
        <v>1</v>
      </c>
      <c r="AB3">
        <v>1</v>
      </c>
      <c r="AC3">
        <v>1</v>
      </c>
      <c r="AF3">
        <v>1</v>
      </c>
      <c r="AG3">
        <v>1</v>
      </c>
      <c r="AH3">
        <v>1</v>
      </c>
      <c r="AI3">
        <v>0.5</v>
      </c>
      <c r="AJ3">
        <v>1.5</v>
      </c>
      <c r="AK3">
        <v>18</v>
      </c>
      <c r="AL3" t="s">
        <v>90</v>
      </c>
      <c r="AM3" t="s">
        <v>84</v>
      </c>
      <c r="AO3">
        <v>157</v>
      </c>
      <c r="AP3">
        <v>0</v>
      </c>
      <c r="AQ3">
        <v>41.5</v>
      </c>
      <c r="AS3">
        <v>198.5</v>
      </c>
      <c r="AT3">
        <v>1</v>
      </c>
      <c r="AU3">
        <v>0</v>
      </c>
      <c r="AV3" s="55">
        <v>43864.337175925924</v>
      </c>
    </row>
    <row r="4" spans="1:48" ht="15.75" customHeight="1">
      <c r="E4" t="s">
        <v>61</v>
      </c>
      <c r="AF4">
        <v>1</v>
      </c>
      <c r="AK4">
        <v>1</v>
      </c>
      <c r="AL4" t="s">
        <v>61</v>
      </c>
      <c r="AM4" t="s">
        <v>84</v>
      </c>
    </row>
    <row r="5" spans="1:48" ht="15.75" customHeight="1">
      <c r="E5" t="s">
        <v>64</v>
      </c>
      <c r="AA5">
        <v>1</v>
      </c>
      <c r="AG5">
        <v>0.5</v>
      </c>
      <c r="AH5">
        <v>0.5</v>
      </c>
      <c r="AI5">
        <v>0.5</v>
      </c>
      <c r="AK5">
        <v>2.5</v>
      </c>
      <c r="AL5" t="s">
        <v>64</v>
      </c>
      <c r="AM5" t="s">
        <v>84</v>
      </c>
    </row>
    <row r="6" spans="1:48" ht="15.75" customHeight="1">
      <c r="E6" t="s">
        <v>58</v>
      </c>
      <c r="AA6">
        <v>0.5</v>
      </c>
      <c r="AF6">
        <v>1</v>
      </c>
      <c r="AG6">
        <v>0.5</v>
      </c>
      <c r="AH6">
        <v>0.5</v>
      </c>
      <c r="AI6">
        <v>0.5</v>
      </c>
      <c r="AK6">
        <v>3</v>
      </c>
      <c r="AL6" t="s">
        <v>58</v>
      </c>
      <c r="AM6" t="s">
        <v>84</v>
      </c>
    </row>
    <row r="7" spans="1:48" ht="15.75" customHeight="1">
      <c r="E7" t="s">
        <v>76</v>
      </c>
      <c r="V7">
        <v>0.5</v>
      </c>
      <c r="AI7">
        <v>1.5</v>
      </c>
      <c r="AK7">
        <v>2</v>
      </c>
      <c r="AL7" t="s">
        <v>76</v>
      </c>
      <c r="AM7" t="s">
        <v>84</v>
      </c>
    </row>
    <row r="8" spans="1:48" ht="15.75" customHeight="1">
      <c r="E8" t="s">
        <v>60</v>
      </c>
      <c r="S8">
        <v>0.5</v>
      </c>
      <c r="AK8">
        <v>0.5</v>
      </c>
      <c r="AL8" t="s">
        <v>60</v>
      </c>
      <c r="AM8" t="s">
        <v>84</v>
      </c>
    </row>
    <row r="9" spans="1:48" ht="15.75" customHeight="1">
      <c r="E9" t="s">
        <v>92</v>
      </c>
      <c r="K9">
        <v>0.5</v>
      </c>
      <c r="L9">
        <v>2</v>
      </c>
      <c r="N9">
        <v>1</v>
      </c>
      <c r="R9">
        <v>1</v>
      </c>
      <c r="T9">
        <v>0.5</v>
      </c>
      <c r="AG9">
        <v>2</v>
      </c>
      <c r="AH9">
        <v>2</v>
      </c>
      <c r="AI9">
        <v>0.5</v>
      </c>
      <c r="AJ9">
        <v>1</v>
      </c>
      <c r="AK9">
        <v>10.5</v>
      </c>
      <c r="AL9" t="s">
        <v>92</v>
      </c>
      <c r="AM9" t="s">
        <v>84</v>
      </c>
    </row>
    <row r="10" spans="1:48" ht="15.75" customHeight="1">
      <c r="E10" t="s">
        <v>88</v>
      </c>
      <c r="K10">
        <v>0.5</v>
      </c>
      <c r="M10">
        <v>0.5</v>
      </c>
      <c r="N10">
        <v>0.5</v>
      </c>
      <c r="R10">
        <v>0.5</v>
      </c>
      <c r="Z10">
        <v>1</v>
      </c>
      <c r="AA10">
        <v>0.5</v>
      </c>
      <c r="AK10">
        <v>3.5</v>
      </c>
      <c r="AL10" t="s">
        <v>88</v>
      </c>
      <c r="AM10" t="s">
        <v>84</v>
      </c>
    </row>
    <row r="11" spans="1:48" ht="15.75" customHeight="1">
      <c r="E11" t="s">
        <v>82</v>
      </c>
      <c r="K11">
        <v>0.5</v>
      </c>
      <c r="AK11">
        <v>0.5</v>
      </c>
      <c r="AL11" t="s">
        <v>82</v>
      </c>
      <c r="AM11" t="s">
        <v>84</v>
      </c>
    </row>
    <row r="12" spans="1:48" ht="15.75" customHeight="1">
      <c r="E12" t="s">
        <v>91</v>
      </c>
      <c r="H12">
        <v>0.5</v>
      </c>
      <c r="K12">
        <v>0.5</v>
      </c>
      <c r="L12">
        <v>0</v>
      </c>
      <c r="M12">
        <v>0.5</v>
      </c>
      <c r="O12">
        <v>0.5</v>
      </c>
      <c r="R12">
        <v>1</v>
      </c>
      <c r="V12">
        <v>0.5</v>
      </c>
      <c r="Z12">
        <v>0.5</v>
      </c>
      <c r="AC12">
        <v>1</v>
      </c>
      <c r="AF12">
        <v>1</v>
      </c>
      <c r="AJ12">
        <v>1</v>
      </c>
      <c r="AK12">
        <v>7</v>
      </c>
      <c r="AL12" t="s">
        <v>91</v>
      </c>
      <c r="AM12" t="s">
        <v>84</v>
      </c>
    </row>
    <row r="13" spans="1:48" ht="15.75" customHeight="1">
      <c r="E13" t="s">
        <v>85</v>
      </c>
      <c r="H13">
        <v>1.5</v>
      </c>
      <c r="K13">
        <v>0.5</v>
      </c>
      <c r="L13">
        <v>0.5</v>
      </c>
      <c r="M13">
        <v>2.5</v>
      </c>
      <c r="O13">
        <v>1.5</v>
      </c>
      <c r="R13">
        <v>0.5</v>
      </c>
      <c r="S13">
        <v>1</v>
      </c>
      <c r="T13">
        <v>2</v>
      </c>
      <c r="U13">
        <v>5</v>
      </c>
      <c r="V13">
        <v>1</v>
      </c>
      <c r="Z13">
        <v>1</v>
      </c>
      <c r="AA13">
        <v>2</v>
      </c>
      <c r="AC13">
        <v>2</v>
      </c>
      <c r="AG13">
        <v>0.5</v>
      </c>
      <c r="AH13">
        <v>2</v>
      </c>
      <c r="AJ13">
        <v>1.5</v>
      </c>
      <c r="AK13">
        <v>25</v>
      </c>
      <c r="AL13" t="s">
        <v>85</v>
      </c>
      <c r="AM13" t="s">
        <v>84</v>
      </c>
      <c r="AN13" t="s">
        <v>96</v>
      </c>
    </row>
    <row r="14" spans="1:48" ht="15.75" customHeight="1">
      <c r="E14" t="s">
        <v>86</v>
      </c>
      <c r="K14">
        <v>1.5</v>
      </c>
      <c r="L14">
        <v>1.5</v>
      </c>
      <c r="M14">
        <v>1</v>
      </c>
      <c r="N14">
        <v>3</v>
      </c>
      <c r="R14">
        <v>2</v>
      </c>
      <c r="S14">
        <v>1.5</v>
      </c>
      <c r="T14">
        <v>1</v>
      </c>
      <c r="U14">
        <v>1.5</v>
      </c>
      <c r="V14">
        <v>1.5</v>
      </c>
      <c r="Z14">
        <v>0.5</v>
      </c>
      <c r="AA14">
        <v>1</v>
      </c>
      <c r="AB14">
        <v>3</v>
      </c>
      <c r="AC14">
        <v>0.5</v>
      </c>
      <c r="AF14">
        <v>2</v>
      </c>
      <c r="AG14">
        <v>2.5</v>
      </c>
      <c r="AH14">
        <v>1</v>
      </c>
      <c r="AI14">
        <v>1.5</v>
      </c>
      <c r="AJ14">
        <v>1</v>
      </c>
      <c r="AK14">
        <v>27.5</v>
      </c>
      <c r="AL14" t="s">
        <v>86</v>
      </c>
      <c r="AM14" t="s">
        <v>84</v>
      </c>
    </row>
    <row r="15" spans="1:48" ht="15.75" customHeight="1">
      <c r="E15" t="s">
        <v>87</v>
      </c>
      <c r="F15">
        <v>0.5</v>
      </c>
      <c r="G15">
        <v>0.5</v>
      </c>
      <c r="H15">
        <v>0.5</v>
      </c>
      <c r="K15">
        <v>3</v>
      </c>
      <c r="L15">
        <v>0.5</v>
      </c>
      <c r="M15">
        <v>0.5</v>
      </c>
      <c r="N15">
        <v>0.5</v>
      </c>
      <c r="O15">
        <v>0.5</v>
      </c>
      <c r="S15">
        <v>1</v>
      </c>
      <c r="T15">
        <v>3</v>
      </c>
      <c r="U15">
        <v>1</v>
      </c>
      <c r="V15">
        <v>1</v>
      </c>
      <c r="Y15">
        <v>0.5</v>
      </c>
      <c r="Z15">
        <v>1.5</v>
      </c>
      <c r="AB15">
        <v>1</v>
      </c>
      <c r="AC15">
        <v>1</v>
      </c>
      <c r="AI15">
        <v>1</v>
      </c>
      <c r="AJ15">
        <v>0.5</v>
      </c>
      <c r="AK15">
        <v>18</v>
      </c>
      <c r="AL15" t="s">
        <v>87</v>
      </c>
      <c r="AM15" t="s">
        <v>84</v>
      </c>
    </row>
    <row r="16" spans="1:48" ht="15.75" customHeight="1">
      <c r="E16" t="s">
        <v>50</v>
      </c>
      <c r="H16">
        <v>0.5</v>
      </c>
      <c r="K16">
        <v>1.5</v>
      </c>
      <c r="L16">
        <v>2.5</v>
      </c>
      <c r="M16">
        <v>4</v>
      </c>
      <c r="N16">
        <v>2.5</v>
      </c>
      <c r="O16">
        <v>2.5</v>
      </c>
      <c r="R16">
        <v>1</v>
      </c>
      <c r="S16">
        <v>2</v>
      </c>
      <c r="T16">
        <v>1.5</v>
      </c>
      <c r="U16">
        <v>1</v>
      </c>
      <c r="V16">
        <v>1.5</v>
      </c>
      <c r="Z16">
        <v>2</v>
      </c>
      <c r="AA16">
        <v>2.5</v>
      </c>
      <c r="AB16">
        <v>3.5</v>
      </c>
      <c r="AC16">
        <v>2.5</v>
      </c>
      <c r="AF16">
        <v>1.5</v>
      </c>
      <c r="AG16">
        <v>0.5</v>
      </c>
      <c r="AH16">
        <v>1.5</v>
      </c>
      <c r="AI16">
        <v>2</v>
      </c>
      <c r="AJ16">
        <v>1.5</v>
      </c>
      <c r="AK16">
        <v>38</v>
      </c>
      <c r="AL16" t="s">
        <v>50</v>
      </c>
      <c r="AM16" t="s">
        <v>84</v>
      </c>
      <c r="AN16" t="s">
        <v>95</v>
      </c>
    </row>
    <row r="17" spans="1:48" ht="15.75" customHeight="1">
      <c r="E17" t="s">
        <v>74</v>
      </c>
      <c r="G17">
        <v>0.5</v>
      </c>
      <c r="O17">
        <v>2</v>
      </c>
      <c r="R17">
        <v>1.5</v>
      </c>
      <c r="S17">
        <v>1</v>
      </c>
      <c r="T17">
        <v>0.5</v>
      </c>
      <c r="V17">
        <v>1</v>
      </c>
      <c r="Y17">
        <v>4</v>
      </c>
      <c r="Z17">
        <v>0.5</v>
      </c>
      <c r="AF17">
        <v>1</v>
      </c>
      <c r="AG17">
        <v>3</v>
      </c>
      <c r="AH17">
        <v>0.5</v>
      </c>
      <c r="AK17">
        <v>15.5</v>
      </c>
      <c r="AL17" t="s">
        <v>74</v>
      </c>
      <c r="AM17" t="s">
        <v>84</v>
      </c>
    </row>
    <row r="18" spans="1:48" ht="15.75" customHeight="1">
      <c r="E18" t="s">
        <v>75</v>
      </c>
      <c r="F18">
        <v>7.5</v>
      </c>
      <c r="G18">
        <v>7</v>
      </c>
      <c r="H18">
        <v>5</v>
      </c>
      <c r="Y18">
        <v>6.5</v>
      </c>
      <c r="AK18">
        <v>26</v>
      </c>
      <c r="AL18" t="s">
        <v>75</v>
      </c>
      <c r="AM18" t="s">
        <v>84</v>
      </c>
    </row>
    <row r="19" spans="1:48" ht="15.75" customHeight="1">
      <c r="A19" t="s">
        <v>48</v>
      </c>
      <c r="E19" t="s">
        <v>37</v>
      </c>
      <c r="F19">
        <v>8</v>
      </c>
      <c r="G19">
        <v>8</v>
      </c>
      <c r="H19">
        <v>8</v>
      </c>
      <c r="I19">
        <v>0</v>
      </c>
      <c r="J19">
        <v>0</v>
      </c>
      <c r="K19">
        <v>9</v>
      </c>
      <c r="L19">
        <v>8</v>
      </c>
      <c r="M19">
        <v>9</v>
      </c>
      <c r="N19">
        <v>8.5</v>
      </c>
      <c r="O19">
        <v>7.5</v>
      </c>
      <c r="P19">
        <v>0</v>
      </c>
      <c r="Q19">
        <v>0</v>
      </c>
      <c r="R19">
        <v>8.5</v>
      </c>
      <c r="S19">
        <v>8.5</v>
      </c>
      <c r="T19">
        <v>9.5</v>
      </c>
      <c r="U19">
        <v>9</v>
      </c>
      <c r="V19">
        <v>8</v>
      </c>
      <c r="W19">
        <v>0</v>
      </c>
      <c r="X19">
        <v>0</v>
      </c>
      <c r="Y19">
        <v>11</v>
      </c>
      <c r="Z19">
        <v>9</v>
      </c>
      <c r="AA19">
        <v>8.5</v>
      </c>
      <c r="AB19">
        <v>8.5</v>
      </c>
      <c r="AC19">
        <v>8</v>
      </c>
      <c r="AD19">
        <v>0</v>
      </c>
      <c r="AE19">
        <v>0</v>
      </c>
      <c r="AF19">
        <v>8.5</v>
      </c>
      <c r="AG19">
        <v>10.5</v>
      </c>
      <c r="AH19">
        <v>9</v>
      </c>
      <c r="AI19">
        <v>8</v>
      </c>
      <c r="AJ19">
        <v>8</v>
      </c>
      <c r="AK19">
        <v>198.5</v>
      </c>
    </row>
    <row r="20" spans="1:48" ht="15.75" customHeight="1">
      <c r="A20" t="s">
        <v>48</v>
      </c>
      <c r="E20" t="s">
        <v>49</v>
      </c>
      <c r="F20">
        <v>8</v>
      </c>
      <c r="G20">
        <v>8</v>
      </c>
      <c r="H20">
        <v>8</v>
      </c>
      <c r="K20">
        <v>9</v>
      </c>
      <c r="L20">
        <v>8</v>
      </c>
      <c r="M20">
        <v>9</v>
      </c>
      <c r="N20">
        <v>8.5</v>
      </c>
      <c r="O20">
        <v>7.5</v>
      </c>
      <c r="R20">
        <v>8.5</v>
      </c>
      <c r="S20">
        <v>8.5</v>
      </c>
      <c r="T20">
        <v>9.5</v>
      </c>
      <c r="U20">
        <v>9</v>
      </c>
      <c r="V20">
        <v>8</v>
      </c>
      <c r="Y20">
        <v>12</v>
      </c>
      <c r="Z20">
        <v>9</v>
      </c>
      <c r="AA20">
        <v>8.5</v>
      </c>
      <c r="AB20">
        <v>8.5</v>
      </c>
      <c r="AC20">
        <v>8</v>
      </c>
      <c r="AF20">
        <v>8.5</v>
      </c>
      <c r="AG20">
        <v>10.5</v>
      </c>
      <c r="AH20">
        <v>9</v>
      </c>
      <c r="AI20">
        <v>8</v>
      </c>
      <c r="AJ20">
        <v>8</v>
      </c>
    </row>
    <row r="21" spans="1:48" ht="15.75" customHeight="1">
      <c r="A21" t="s">
        <v>0</v>
      </c>
      <c r="B21" t="s">
        <v>1</v>
      </c>
      <c r="C21" t="s">
        <v>2</v>
      </c>
      <c r="D21" t="s">
        <v>3</v>
      </c>
      <c r="E21" t="s">
        <v>4</v>
      </c>
      <c r="F21">
        <v>43862</v>
      </c>
      <c r="G21">
        <v>43863</v>
      </c>
      <c r="H21">
        <v>43864</v>
      </c>
      <c r="I21">
        <v>43865</v>
      </c>
      <c r="J21">
        <v>43866</v>
      </c>
      <c r="K21">
        <v>43867</v>
      </c>
      <c r="L21">
        <v>43868</v>
      </c>
      <c r="M21">
        <v>43869</v>
      </c>
      <c r="N21">
        <v>43870</v>
      </c>
      <c r="O21">
        <v>43871</v>
      </c>
      <c r="P21">
        <v>43872</v>
      </c>
      <c r="Q21">
        <v>43873</v>
      </c>
      <c r="R21">
        <v>43874</v>
      </c>
      <c r="S21">
        <v>43875</v>
      </c>
      <c r="T21">
        <v>43876</v>
      </c>
      <c r="U21">
        <v>43877</v>
      </c>
      <c r="V21">
        <v>43878</v>
      </c>
      <c r="W21">
        <v>43879</v>
      </c>
      <c r="X21">
        <v>43880</v>
      </c>
      <c r="Y21">
        <v>43881</v>
      </c>
      <c r="Z21">
        <v>43882</v>
      </c>
      <c r="AA21">
        <v>43883</v>
      </c>
      <c r="AB21">
        <v>43884</v>
      </c>
      <c r="AC21">
        <v>43885</v>
      </c>
      <c r="AD21">
        <v>43886</v>
      </c>
      <c r="AE21">
        <v>43887</v>
      </c>
      <c r="AF21">
        <v>43888</v>
      </c>
      <c r="AG21">
        <v>43889</v>
      </c>
      <c r="AH21">
        <v>43890</v>
      </c>
      <c r="AI21">
        <v>43891</v>
      </c>
      <c r="AJ21">
        <v>43892</v>
      </c>
      <c r="AK21" t="s">
        <v>37</v>
      </c>
      <c r="AM21" t="s">
        <v>39</v>
      </c>
      <c r="AN21" t="s">
        <v>40</v>
      </c>
      <c r="AO21" t="s">
        <v>35</v>
      </c>
      <c r="AP21" t="s">
        <v>41</v>
      </c>
      <c r="AQ21" t="s">
        <v>42</v>
      </c>
      <c r="AS21" t="s">
        <v>44</v>
      </c>
      <c r="AT21" t="s">
        <v>45</v>
      </c>
      <c r="AU21" t="s">
        <v>46</v>
      </c>
      <c r="AV21" s="55" t="s">
        <v>47</v>
      </c>
    </row>
    <row r="22" spans="1:48" ht="15.75" customHeight="1">
      <c r="A22">
        <v>2</v>
      </c>
      <c r="B22">
        <v>2020</v>
      </c>
      <c r="C22" t="s">
        <v>98</v>
      </c>
      <c r="D22" t="s">
        <v>100</v>
      </c>
      <c r="E22" t="s">
        <v>90</v>
      </c>
      <c r="I22">
        <v>7.5</v>
      </c>
      <c r="K22">
        <v>1</v>
      </c>
      <c r="L22">
        <v>1.5</v>
      </c>
      <c r="O22">
        <v>1</v>
      </c>
      <c r="P22">
        <v>1</v>
      </c>
      <c r="S22">
        <v>0.5</v>
      </c>
      <c r="W22">
        <v>0.5</v>
      </c>
      <c r="X22">
        <v>0.5</v>
      </c>
      <c r="Y22">
        <v>1</v>
      </c>
      <c r="Z22">
        <v>0.5</v>
      </c>
      <c r="AC22">
        <v>1</v>
      </c>
      <c r="AE22">
        <v>0.5</v>
      </c>
      <c r="AF22">
        <v>0.5</v>
      </c>
      <c r="AG22">
        <v>1</v>
      </c>
      <c r="AK22">
        <v>18</v>
      </c>
      <c r="AL22" t="s">
        <v>90</v>
      </c>
      <c r="AM22" t="s">
        <v>84</v>
      </c>
      <c r="AO22">
        <v>154</v>
      </c>
      <c r="AP22">
        <v>0</v>
      </c>
      <c r="AQ22">
        <v>28.5</v>
      </c>
      <c r="AS22">
        <v>182.5</v>
      </c>
      <c r="AT22">
        <v>1</v>
      </c>
      <c r="AU22">
        <v>0</v>
      </c>
      <c r="AV22" s="55">
        <v>43892.342118055552</v>
      </c>
    </row>
    <row r="23" spans="1:48" ht="15.75" customHeight="1">
      <c r="E23" t="s">
        <v>54</v>
      </c>
      <c r="X23">
        <v>0.5</v>
      </c>
      <c r="Z23">
        <v>0.5</v>
      </c>
      <c r="AK23">
        <v>1</v>
      </c>
      <c r="AL23" t="s">
        <v>54</v>
      </c>
      <c r="AM23" t="s">
        <v>84</v>
      </c>
    </row>
    <row r="24" spans="1:48" ht="15.75" customHeight="1">
      <c r="E24" t="s">
        <v>99</v>
      </c>
      <c r="R24">
        <v>1</v>
      </c>
      <c r="AK24">
        <v>1</v>
      </c>
      <c r="AL24" t="s">
        <v>99</v>
      </c>
      <c r="AM24" t="s">
        <v>84</v>
      </c>
    </row>
    <row r="25" spans="1:48" ht="15.75" customHeight="1">
      <c r="E25" t="s">
        <v>89</v>
      </c>
      <c r="K25">
        <v>1</v>
      </c>
      <c r="O25">
        <v>1</v>
      </c>
      <c r="P25">
        <v>1</v>
      </c>
      <c r="Q25">
        <v>3.5</v>
      </c>
      <c r="W25">
        <v>1</v>
      </c>
      <c r="X25">
        <v>0.5</v>
      </c>
      <c r="Y25">
        <v>1.5</v>
      </c>
      <c r="AC25">
        <v>0.5</v>
      </c>
      <c r="AF25">
        <v>1</v>
      </c>
      <c r="AK25">
        <v>11</v>
      </c>
      <c r="AL25" t="s">
        <v>89</v>
      </c>
      <c r="AM25" t="s">
        <v>84</v>
      </c>
    </row>
    <row r="26" spans="1:48" ht="15.75" customHeight="1">
      <c r="E26" t="s">
        <v>83</v>
      </c>
      <c r="L26">
        <v>2</v>
      </c>
      <c r="AK26">
        <v>2</v>
      </c>
      <c r="AL26" t="s">
        <v>83</v>
      </c>
      <c r="AM26" t="s">
        <v>84</v>
      </c>
    </row>
    <row r="27" spans="1:48" ht="15.75" customHeight="1">
      <c r="E27" t="s">
        <v>79</v>
      </c>
      <c r="H27">
        <v>1</v>
      </c>
      <c r="AK27">
        <v>1</v>
      </c>
      <c r="AL27" t="s">
        <v>79</v>
      </c>
      <c r="AM27" t="s">
        <v>84</v>
      </c>
    </row>
    <row r="28" spans="1:48" ht="15.75" customHeight="1">
      <c r="E28" t="s">
        <v>61</v>
      </c>
      <c r="AK28">
        <v>0</v>
      </c>
      <c r="AL28" t="s">
        <v>61</v>
      </c>
      <c r="AM28" t="s">
        <v>84</v>
      </c>
    </row>
    <row r="29" spans="1:48" ht="15.75" customHeight="1">
      <c r="E29" t="s">
        <v>64</v>
      </c>
      <c r="H29">
        <v>0.5</v>
      </c>
      <c r="J29">
        <v>0.5</v>
      </c>
      <c r="K29">
        <v>1</v>
      </c>
      <c r="R29">
        <v>1</v>
      </c>
      <c r="S29">
        <v>1</v>
      </c>
      <c r="AF29">
        <v>0.5</v>
      </c>
      <c r="AK29">
        <v>4.5</v>
      </c>
      <c r="AL29" t="s">
        <v>64</v>
      </c>
      <c r="AM29" t="s">
        <v>84</v>
      </c>
    </row>
    <row r="30" spans="1:48" ht="15.75" customHeight="1">
      <c r="E30" t="s">
        <v>58</v>
      </c>
      <c r="H30">
        <v>0.5</v>
      </c>
      <c r="J30">
        <v>0.5</v>
      </c>
      <c r="K30">
        <v>1</v>
      </c>
      <c r="W30">
        <v>1</v>
      </c>
      <c r="X30">
        <v>1</v>
      </c>
      <c r="Y30">
        <v>1</v>
      </c>
      <c r="Z30">
        <v>2</v>
      </c>
      <c r="AC30">
        <v>1</v>
      </c>
      <c r="AD30">
        <v>1</v>
      </c>
      <c r="AE30">
        <v>1</v>
      </c>
      <c r="AF30">
        <v>0.5</v>
      </c>
      <c r="AG30">
        <v>1</v>
      </c>
      <c r="AK30">
        <v>11.5</v>
      </c>
      <c r="AL30" t="s">
        <v>58</v>
      </c>
      <c r="AM30" t="s">
        <v>84</v>
      </c>
    </row>
    <row r="31" spans="1:48" ht="15.75" customHeight="1">
      <c r="E31" t="s">
        <v>76</v>
      </c>
      <c r="J31">
        <v>0.5</v>
      </c>
      <c r="S31">
        <v>1</v>
      </c>
      <c r="AE31">
        <v>1</v>
      </c>
      <c r="AK31">
        <v>2.5</v>
      </c>
      <c r="AL31" t="s">
        <v>76</v>
      </c>
      <c r="AM31" t="s">
        <v>84</v>
      </c>
    </row>
    <row r="32" spans="1:48" ht="15.75" customHeight="1">
      <c r="E32" t="s">
        <v>60</v>
      </c>
      <c r="X32">
        <v>0.5</v>
      </c>
      <c r="Y32">
        <v>0.5</v>
      </c>
      <c r="AC32">
        <v>0.5</v>
      </c>
      <c r="AD32">
        <v>0.5</v>
      </c>
      <c r="AK32">
        <v>2</v>
      </c>
      <c r="AL32" t="s">
        <v>60</v>
      </c>
      <c r="AM32" t="s">
        <v>84</v>
      </c>
    </row>
    <row r="33" spans="1:40" ht="15.75" customHeight="1">
      <c r="E33" t="s">
        <v>92</v>
      </c>
      <c r="G33">
        <v>1</v>
      </c>
      <c r="I33">
        <v>0.5</v>
      </c>
      <c r="J33">
        <v>0.5</v>
      </c>
      <c r="O33">
        <v>3</v>
      </c>
      <c r="AG33">
        <v>3</v>
      </c>
      <c r="AK33">
        <v>8</v>
      </c>
      <c r="AL33" t="s">
        <v>92</v>
      </c>
      <c r="AM33" t="s">
        <v>84</v>
      </c>
    </row>
    <row r="34" spans="1:40" ht="15.75" customHeight="1">
      <c r="E34" t="s">
        <v>88</v>
      </c>
      <c r="K34">
        <v>0.5</v>
      </c>
      <c r="O34">
        <v>0.5</v>
      </c>
      <c r="R34">
        <v>2</v>
      </c>
      <c r="Z34">
        <v>0.5</v>
      </c>
      <c r="AD34">
        <v>1</v>
      </c>
      <c r="AK34">
        <v>4.5</v>
      </c>
      <c r="AL34" t="s">
        <v>88</v>
      </c>
      <c r="AM34" t="s">
        <v>84</v>
      </c>
    </row>
    <row r="35" spans="1:40" ht="15.75" customHeight="1">
      <c r="E35" t="s">
        <v>82</v>
      </c>
      <c r="AK35">
        <v>0</v>
      </c>
      <c r="AL35" t="s">
        <v>82</v>
      </c>
      <c r="AM35" t="s">
        <v>84</v>
      </c>
    </row>
    <row r="36" spans="1:40" ht="15.75" customHeight="1">
      <c r="E36" t="s">
        <v>91</v>
      </c>
      <c r="J36">
        <v>0.5</v>
      </c>
      <c r="L36">
        <v>0.5</v>
      </c>
      <c r="O36">
        <v>0.5</v>
      </c>
      <c r="S36">
        <v>1</v>
      </c>
      <c r="W36">
        <v>1</v>
      </c>
      <c r="Z36">
        <v>0.5</v>
      </c>
      <c r="AC36">
        <v>1</v>
      </c>
      <c r="AD36">
        <v>1</v>
      </c>
      <c r="AG36">
        <v>0.5</v>
      </c>
      <c r="AK36">
        <v>6.5</v>
      </c>
      <c r="AL36" t="s">
        <v>91</v>
      </c>
      <c r="AM36" t="s">
        <v>84</v>
      </c>
    </row>
    <row r="37" spans="1:40" ht="15.75" customHeight="1">
      <c r="E37" t="s">
        <v>85</v>
      </c>
      <c r="H37">
        <v>0.5</v>
      </c>
      <c r="J37">
        <v>1.5</v>
      </c>
      <c r="L37">
        <v>1.5</v>
      </c>
      <c r="P37">
        <v>1</v>
      </c>
      <c r="Q37">
        <v>2</v>
      </c>
      <c r="S37">
        <v>1</v>
      </c>
      <c r="W37">
        <v>0.5</v>
      </c>
      <c r="X37">
        <v>2</v>
      </c>
      <c r="Z37">
        <v>1</v>
      </c>
      <c r="AC37">
        <v>0.5</v>
      </c>
      <c r="AD37">
        <v>0.5</v>
      </c>
      <c r="AE37">
        <v>1</v>
      </c>
      <c r="AG37">
        <v>1</v>
      </c>
      <c r="AK37">
        <v>14</v>
      </c>
      <c r="AL37" t="s">
        <v>85</v>
      </c>
      <c r="AM37" t="s">
        <v>84</v>
      </c>
      <c r="AN37" t="s">
        <v>96</v>
      </c>
    </row>
    <row r="38" spans="1:40" ht="15.75" customHeight="1">
      <c r="E38" t="s">
        <v>86</v>
      </c>
      <c r="H38">
        <v>1.5</v>
      </c>
      <c r="J38">
        <v>1</v>
      </c>
      <c r="K38">
        <v>1.5</v>
      </c>
      <c r="L38">
        <v>0.5</v>
      </c>
      <c r="O38">
        <v>1</v>
      </c>
      <c r="P38">
        <v>1.5</v>
      </c>
      <c r="Q38">
        <v>2</v>
      </c>
      <c r="R38">
        <v>1</v>
      </c>
      <c r="S38">
        <v>1</v>
      </c>
      <c r="W38">
        <v>3</v>
      </c>
      <c r="Y38">
        <v>2</v>
      </c>
      <c r="AC38">
        <v>1</v>
      </c>
      <c r="AD38">
        <v>1.5</v>
      </c>
      <c r="AE38">
        <v>2</v>
      </c>
      <c r="AF38">
        <v>2.5</v>
      </c>
      <c r="AK38">
        <v>23</v>
      </c>
      <c r="AL38" t="s">
        <v>86</v>
      </c>
      <c r="AM38" t="s">
        <v>84</v>
      </c>
    </row>
    <row r="39" spans="1:40" ht="15.75" customHeight="1">
      <c r="E39" t="s">
        <v>87</v>
      </c>
      <c r="H39">
        <v>2</v>
      </c>
      <c r="J39">
        <v>0.5</v>
      </c>
      <c r="L39">
        <v>1</v>
      </c>
      <c r="P39">
        <v>0.5</v>
      </c>
      <c r="R39">
        <v>1</v>
      </c>
      <c r="S39">
        <v>2</v>
      </c>
      <c r="W39">
        <v>1</v>
      </c>
      <c r="X39">
        <v>1</v>
      </c>
      <c r="Y39">
        <v>1</v>
      </c>
      <c r="Z39">
        <v>1</v>
      </c>
      <c r="AC39">
        <v>0.5</v>
      </c>
      <c r="AD39">
        <v>1</v>
      </c>
      <c r="AE39">
        <v>1.5</v>
      </c>
      <c r="AF39">
        <v>0.5</v>
      </c>
      <c r="AG39">
        <v>0.5</v>
      </c>
      <c r="AK39">
        <v>15</v>
      </c>
      <c r="AL39" t="s">
        <v>87</v>
      </c>
      <c r="AM39" t="s">
        <v>84</v>
      </c>
    </row>
    <row r="40" spans="1:40" ht="15.75" customHeight="1">
      <c r="E40" t="s">
        <v>50</v>
      </c>
      <c r="H40">
        <v>2</v>
      </c>
      <c r="J40">
        <v>1</v>
      </c>
      <c r="K40">
        <v>2</v>
      </c>
      <c r="L40">
        <v>1</v>
      </c>
      <c r="O40">
        <v>2</v>
      </c>
      <c r="P40">
        <v>1.5</v>
      </c>
      <c r="Q40">
        <v>2</v>
      </c>
      <c r="R40">
        <v>2</v>
      </c>
      <c r="S40">
        <v>0.5</v>
      </c>
      <c r="W40">
        <v>0.5</v>
      </c>
      <c r="X40">
        <v>2</v>
      </c>
      <c r="Y40">
        <v>1.5</v>
      </c>
      <c r="Z40">
        <v>1.5</v>
      </c>
      <c r="AC40">
        <v>2.5</v>
      </c>
      <c r="AD40">
        <v>1</v>
      </c>
      <c r="AE40">
        <v>1.5</v>
      </c>
      <c r="AF40">
        <v>3</v>
      </c>
      <c r="AG40">
        <v>1</v>
      </c>
      <c r="AK40">
        <v>28.5</v>
      </c>
      <c r="AL40" t="s">
        <v>50</v>
      </c>
      <c r="AM40" t="s">
        <v>84</v>
      </c>
      <c r="AN40" t="s">
        <v>95</v>
      </c>
    </row>
    <row r="41" spans="1:40" ht="15.75" customHeight="1">
      <c r="E41" t="s">
        <v>74</v>
      </c>
      <c r="I41">
        <v>8.5</v>
      </c>
      <c r="J41">
        <v>1</v>
      </c>
      <c r="P41">
        <v>3.5</v>
      </c>
      <c r="Q41">
        <v>0.5</v>
      </c>
      <c r="W41">
        <v>0.5</v>
      </c>
      <c r="X41">
        <v>1</v>
      </c>
      <c r="Y41">
        <v>1</v>
      </c>
      <c r="Z41">
        <v>0.5</v>
      </c>
      <c r="AD41">
        <v>1.5</v>
      </c>
      <c r="AF41">
        <v>2.5</v>
      </c>
      <c r="AK41">
        <v>20.5</v>
      </c>
      <c r="AL41" t="s">
        <v>74</v>
      </c>
      <c r="AM41" t="s">
        <v>84</v>
      </c>
    </row>
    <row r="42" spans="1:40" ht="15.75" customHeight="1">
      <c r="E42" t="s">
        <v>75</v>
      </c>
      <c r="V42">
        <v>8</v>
      </c>
      <c r="AK42">
        <v>8</v>
      </c>
      <c r="AL42" t="s">
        <v>75</v>
      </c>
      <c r="AM42" t="s">
        <v>84</v>
      </c>
    </row>
    <row r="43" spans="1:40" ht="15.75" customHeight="1">
      <c r="A43" t="s">
        <v>48</v>
      </c>
      <c r="E43" t="s">
        <v>37</v>
      </c>
      <c r="F43">
        <v>0</v>
      </c>
      <c r="G43">
        <v>1</v>
      </c>
      <c r="H43">
        <v>8</v>
      </c>
      <c r="I43">
        <v>16.5</v>
      </c>
      <c r="J43">
        <v>7.5</v>
      </c>
      <c r="K43">
        <v>8</v>
      </c>
      <c r="L43">
        <v>8</v>
      </c>
      <c r="M43">
        <v>0</v>
      </c>
      <c r="N43">
        <v>0</v>
      </c>
      <c r="O43">
        <v>9</v>
      </c>
      <c r="P43">
        <v>10</v>
      </c>
      <c r="Q43">
        <v>10</v>
      </c>
      <c r="R43">
        <v>8</v>
      </c>
      <c r="S43">
        <v>8</v>
      </c>
      <c r="T43">
        <v>0</v>
      </c>
      <c r="U43">
        <v>0</v>
      </c>
      <c r="V43">
        <v>8</v>
      </c>
      <c r="W43">
        <v>9</v>
      </c>
      <c r="X43">
        <v>9</v>
      </c>
      <c r="Y43">
        <v>9.5</v>
      </c>
      <c r="Z43">
        <v>8</v>
      </c>
      <c r="AA43">
        <v>0</v>
      </c>
      <c r="AB43">
        <v>0</v>
      </c>
      <c r="AC43">
        <v>8.5</v>
      </c>
      <c r="AD43">
        <v>9</v>
      </c>
      <c r="AE43">
        <v>8.5</v>
      </c>
      <c r="AF43">
        <v>11</v>
      </c>
      <c r="AG43">
        <v>8</v>
      </c>
      <c r="AH43">
        <v>0</v>
      </c>
      <c r="AI43">
        <v>0</v>
      </c>
      <c r="AJ43">
        <v>0</v>
      </c>
      <c r="AK43">
        <v>182.5</v>
      </c>
    </row>
    <row r="44" spans="1:40" ht="15.75" customHeight="1">
      <c r="A44" t="s">
        <v>48</v>
      </c>
      <c r="E44" t="s">
        <v>49</v>
      </c>
      <c r="G44">
        <v>1</v>
      </c>
      <c r="H44">
        <v>8</v>
      </c>
      <c r="I44">
        <v>16.5</v>
      </c>
      <c r="J44">
        <v>7.5</v>
      </c>
      <c r="K44">
        <v>8</v>
      </c>
      <c r="L44">
        <v>8</v>
      </c>
      <c r="O44">
        <v>9</v>
      </c>
      <c r="P44">
        <v>10</v>
      </c>
      <c r="Q44">
        <v>10</v>
      </c>
      <c r="R44">
        <v>8</v>
      </c>
      <c r="S44">
        <v>8</v>
      </c>
      <c r="V44">
        <v>8</v>
      </c>
      <c r="W44">
        <v>9</v>
      </c>
      <c r="X44">
        <v>9</v>
      </c>
      <c r="Y44">
        <v>9.5</v>
      </c>
      <c r="Z44">
        <v>8</v>
      </c>
      <c r="AC44">
        <v>8.5</v>
      </c>
      <c r="AD44">
        <v>9</v>
      </c>
      <c r="AE44">
        <v>8.5</v>
      </c>
      <c r="AF44">
        <v>11</v>
      </c>
      <c r="AG44">
        <v>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3"/>
  <sheetViews>
    <sheetView workbookViewId="0">
      <selection activeCell="A3" sqref="A3"/>
    </sheetView>
  </sheetViews>
  <sheetFormatPr defaultRowHeight="12.75"/>
  <cols>
    <col min="1" max="1" width="26.5703125" bestFit="1" customWidth="1"/>
  </cols>
  <sheetData>
    <row r="1" spans="1:1">
      <c r="A1" s="58" t="s">
        <v>50</v>
      </c>
    </row>
    <row r="2" spans="1:1">
      <c r="A2" s="58" t="s">
        <v>99</v>
      </c>
    </row>
    <row r="3" spans="1:1">
      <c r="A3" s="58" t="s">
        <v>51</v>
      </c>
    </row>
    <row r="4" spans="1:1">
      <c r="A4" s="58" t="s">
        <v>76</v>
      </c>
    </row>
    <row r="5" spans="1:1">
      <c r="A5" s="58" t="s">
        <v>77</v>
      </c>
    </row>
    <row r="6" spans="1:1">
      <c r="A6" s="58" t="s">
        <v>78</v>
      </c>
    </row>
    <row r="7" spans="1:1">
      <c r="A7" s="58" t="s">
        <v>52</v>
      </c>
    </row>
    <row r="8" spans="1:1">
      <c r="A8" s="58" t="s">
        <v>53</v>
      </c>
    </row>
    <row r="9" spans="1:1">
      <c r="A9" s="58" t="s">
        <v>54</v>
      </c>
    </row>
    <row r="10" spans="1:1">
      <c r="A10" s="58" t="s">
        <v>55</v>
      </c>
    </row>
    <row r="11" spans="1:1">
      <c r="A11" s="58" t="s">
        <v>56</v>
      </c>
    </row>
    <row r="12" spans="1:1">
      <c r="A12" s="58" t="s">
        <v>57</v>
      </c>
    </row>
    <row r="13" spans="1:1">
      <c r="A13" s="58" t="s">
        <v>58</v>
      </c>
    </row>
    <row r="14" spans="1:1">
      <c r="A14" s="58" t="s">
        <v>59</v>
      </c>
    </row>
    <row r="15" spans="1:1">
      <c r="A15" s="58" t="s">
        <v>60</v>
      </c>
    </row>
    <row r="16" spans="1:1">
      <c r="A16" s="58" t="s">
        <v>61</v>
      </c>
    </row>
    <row r="17" spans="1:1">
      <c r="A17" s="58" t="s">
        <v>62</v>
      </c>
    </row>
    <row r="18" spans="1:1">
      <c r="A18" s="58" t="s">
        <v>63</v>
      </c>
    </row>
    <row r="19" spans="1:1">
      <c r="A19" s="58" t="s">
        <v>64</v>
      </c>
    </row>
    <row r="20" spans="1:1">
      <c r="A20" s="58" t="s">
        <v>65</v>
      </c>
    </row>
    <row r="21" spans="1:1">
      <c r="A21" s="58" t="s">
        <v>66</v>
      </c>
    </row>
    <row r="22" spans="1:1">
      <c r="A22" s="58" t="s">
        <v>67</v>
      </c>
    </row>
    <row r="23" spans="1:1">
      <c r="A23" s="58" t="s">
        <v>68</v>
      </c>
    </row>
    <row r="24" spans="1:1">
      <c r="A24" s="58" t="s">
        <v>69</v>
      </c>
    </row>
    <row r="25" spans="1:1">
      <c r="A25" s="58" t="s">
        <v>70</v>
      </c>
    </row>
    <row r="26" spans="1:1">
      <c r="A26" s="58" t="s">
        <v>71</v>
      </c>
    </row>
    <row r="27" spans="1:1">
      <c r="A27" s="58" t="s">
        <v>72</v>
      </c>
    </row>
    <row r="28" spans="1:1">
      <c r="A28" s="58" t="s">
        <v>73</v>
      </c>
    </row>
    <row r="29" spans="1:1">
      <c r="A29" s="58" t="s">
        <v>82</v>
      </c>
    </row>
    <row r="30" spans="1:1">
      <c r="A30" s="58" t="s">
        <v>79</v>
      </c>
    </row>
    <row r="31" spans="1:1">
      <c r="A31" s="58" t="s">
        <v>85</v>
      </c>
    </row>
    <row r="32" spans="1:1">
      <c r="A32" s="58" t="s">
        <v>86</v>
      </c>
    </row>
    <row r="33" spans="1:1">
      <c r="A33" s="58" t="s">
        <v>87</v>
      </c>
    </row>
    <row r="34" spans="1:1">
      <c r="A34" s="58" t="s">
        <v>88</v>
      </c>
    </row>
    <row r="35" spans="1:1">
      <c r="A35" s="58" t="s">
        <v>89</v>
      </c>
    </row>
    <row r="36" spans="1:1">
      <c r="A36" s="58" t="s">
        <v>90</v>
      </c>
    </row>
    <row r="37" spans="1:1">
      <c r="A37" s="58" t="s">
        <v>91</v>
      </c>
    </row>
    <row r="38" spans="1:1">
      <c r="A38" s="58" t="s">
        <v>92</v>
      </c>
    </row>
    <row r="39" spans="1:1">
      <c r="A39" s="58" t="s">
        <v>93</v>
      </c>
    </row>
    <row r="40" spans="1:1">
      <c r="A40" s="58" t="s">
        <v>83</v>
      </c>
    </row>
    <row r="41" spans="1:1">
      <c r="A41" s="58" t="s">
        <v>74</v>
      </c>
    </row>
    <row r="42" spans="1:1">
      <c r="A42" s="58" t="s">
        <v>75</v>
      </c>
    </row>
    <row r="43" spans="1:1">
      <c r="A43" s="58" t="s">
        <v>80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0962995-E641-4BEF-99A8-602C990E61B0}">
  <ds:schemaRefs>
    <ds:schemaRef ds:uri="fc47652f-73a8-48ef-be6c-b836aab274ca"/>
    <ds:schemaRef ds:uri="http://schemas.microsoft.com/office/2006/metadata/properties"/>
    <ds:schemaRef ds:uri="http://schemas.microsoft.com/office/2006/documentManagement/types"/>
    <ds:schemaRef ds:uri="http://purl.org/dc/terms/"/>
    <ds:schemaRef ds:uri="http://purl.org/dc/elements/1.1/"/>
    <ds:schemaRef ds:uri="http://purl.org/dc/dcmitype/"/>
    <ds:schemaRef ds:uri="http://schemas.microsoft.com/office/infopath/2007/PartnerControls"/>
    <ds:schemaRef ds:uri="http://schemas.openxmlformats.org/package/2006/metadata/core-properties"/>
    <ds:schemaRef ds:uri="1ef09ff2-2e9d-4a2c-946b-e898d1cc0ee0"/>
    <ds:schemaRef ds:uri="http://www.w3.org/XML/1998/namespace"/>
  </ds:schemaRefs>
</ds:datastoreItem>
</file>

<file path=customXml/itemProps2.xml><?xml version="1.0" encoding="utf-8"?>
<ds:datastoreItem xmlns:ds="http://schemas.openxmlformats.org/officeDocument/2006/customXml" ds:itemID="{6216463A-0A08-474E-A7F7-35FB930172F3}">
  <ds:schemaRefs>
    <ds:schemaRef ds:uri="http://schemas.microsoft.com/sharepoint/v3/contenttype/forms"/>
  </ds:schemaRefs>
</ds:datastoreItem>
</file>

<file path=customXml/itemProps3.xml><?xml version="1.0" encoding="utf-8"?>
<ds:datastoreItem xmlns:ds="http://schemas.openxmlformats.org/officeDocument/2006/customXml" ds:itemID="{5743D006-9BC2-42E6-ABFB-4F9A8DDFF9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Hall, Nicholas R</cp:lastModifiedBy>
  <dcterms:created xsi:type="dcterms:W3CDTF">2019-07-09T14:54:24Z</dcterms:created>
  <dcterms:modified xsi:type="dcterms:W3CDTF">2020-03-02T15:17:17Z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