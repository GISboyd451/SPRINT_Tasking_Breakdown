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https://doimspp.sharepoint.com/sites/BLMSprintTeam/Shared Documents/Shared Files/Team Tasking Breakdown/"/>
    </mc:Choice>
  </mc:AlternateContent>
  <xr:revisionPtr revIDLastSave="241" documentId="113_{E4069F00-FF8C-4418-9B05-25819EEF27E8}" xr6:coauthVersionLast="45" xr6:coauthVersionMax="45" xr10:uidLastSave="{9240212C-50C0-4D1A-BBCC-2E598526B343}"/>
  <bookViews>
    <workbookView xWindow="-108" yWindow="-108" windowWidth="23256" windowHeight="12576" xr2:uid="{00000000-000D-0000-FFFF-FFFF00000000}"/>
  </bookViews>
  <sheets>
    <sheet name="TaskingSheet" sheetId="1" r:id="rId1"/>
    <sheet name="Archive" sheetId="2" r:id="rId2"/>
    <sheet name="Sheet3" sheetId="3" state="hidden"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8" i="1" l="1"/>
  <c r="AK8" i="1"/>
  <c r="AL9" i="1"/>
  <c r="AK9" i="1"/>
  <c r="AL10" i="1"/>
  <c r="AK10" i="1"/>
  <c r="AL11" i="1"/>
  <c r="AK11" i="1"/>
  <c r="AL12" i="1"/>
  <c r="AK12" i="1"/>
  <c r="D7" i="1" l="1"/>
  <c r="AQ7" i="1" l="1" a="1"/>
  <c r="AQ7" i="1" s="1"/>
  <c r="AL7" i="1"/>
  <c r="AK7" i="1"/>
  <c r="A7" i="1"/>
  <c r="F6" i="1" a="1"/>
  <c r="AG6" i="1" s="1"/>
  <c r="F5" i="1" a="1"/>
  <c r="AG5" i="1" s="1"/>
  <c r="F4" i="1" a="1"/>
  <c r="AH4" i="1" s="1"/>
  <c r="B4" i="1" a="1"/>
  <c r="B4" i="1" s="1"/>
  <c r="AF13" i="1"/>
  <c r="N13" i="1"/>
  <c r="L13" i="1"/>
  <c r="P13" i="1"/>
  <c r="H13" i="1"/>
  <c r="G13" i="1"/>
  <c r="U13" i="1"/>
  <c r="AK13" i="1"/>
  <c r="O13" i="1"/>
  <c r="X13" i="1"/>
  <c r="AC13" i="1"/>
  <c r="M13" i="1"/>
  <c r="J13" i="1"/>
  <c r="T13" i="1"/>
  <c r="Y13" i="1"/>
  <c r="AJ13" i="1"/>
  <c r="AB13" i="1"/>
  <c r="I13" i="1"/>
  <c r="R13" i="1"/>
  <c r="AA13" i="1"/>
  <c r="Z13" i="1"/>
  <c r="AH13" i="1"/>
  <c r="AG13" i="1"/>
  <c r="F13" i="1"/>
  <c r="V13" i="1"/>
  <c r="K13" i="1"/>
  <c r="W13" i="1"/>
  <c r="AI13" i="1"/>
  <c r="Q13" i="1"/>
  <c r="S13" i="1"/>
  <c r="B2" i="1" l="1" a="1"/>
  <c r="B2" i="1" s="1"/>
  <c r="AO7" i="1" a="1"/>
  <c r="AO7" i="1" s="1"/>
  <c r="AP7" i="1"/>
  <c r="B3" i="1"/>
  <c r="A1" i="1"/>
  <c r="AS7" i="1"/>
  <c r="B5" i="1"/>
  <c r="F4" i="1"/>
  <c r="U4" i="1"/>
  <c r="K4" i="1"/>
  <c r="S4" i="1"/>
  <c r="AA4" i="1"/>
  <c r="AI4" i="1"/>
  <c r="J5" i="1"/>
  <c r="R5" i="1"/>
  <c r="Z5" i="1"/>
  <c r="AH5" i="1"/>
  <c r="J6" i="1"/>
  <c r="R6" i="1"/>
  <c r="Z6" i="1"/>
  <c r="AH6" i="1"/>
  <c r="L4" i="1"/>
  <c r="T4" i="1"/>
  <c r="AB4" i="1"/>
  <c r="AJ4" i="1"/>
  <c r="K5" i="1"/>
  <c r="S5" i="1"/>
  <c r="AA5" i="1"/>
  <c r="AI5" i="1"/>
  <c r="K6" i="1"/>
  <c r="S6" i="1"/>
  <c r="AA6" i="1"/>
  <c r="AI6" i="1"/>
  <c r="M4" i="1"/>
  <c r="L5" i="1"/>
  <c r="T5" i="1"/>
  <c r="AB5" i="1"/>
  <c r="L6" i="1"/>
  <c r="T6" i="1"/>
  <c r="AB6" i="1"/>
  <c r="AJ6" i="1"/>
  <c r="N4" i="1"/>
  <c r="V4" i="1"/>
  <c r="AD4" i="1"/>
  <c r="F5" i="1"/>
  <c r="M5" i="1"/>
  <c r="U5" i="1"/>
  <c r="AC5" i="1"/>
  <c r="F6" i="1"/>
  <c r="M6" i="1"/>
  <c r="U6" i="1"/>
  <c r="AC6" i="1"/>
  <c r="N5" i="1"/>
  <c r="V5" i="1"/>
  <c r="AD5" i="1"/>
  <c r="AC4" i="1"/>
  <c r="AJ5" i="1"/>
  <c r="G4" i="1"/>
  <c r="O4" i="1"/>
  <c r="W4" i="1"/>
  <c r="AE4" i="1"/>
  <c r="H4" i="1"/>
  <c r="P4" i="1"/>
  <c r="X4" i="1"/>
  <c r="AF4" i="1"/>
  <c r="G5" i="1"/>
  <c r="O5" i="1"/>
  <c r="W5" i="1"/>
  <c r="AE5" i="1"/>
  <c r="G6" i="1"/>
  <c r="O6" i="1"/>
  <c r="W6" i="1"/>
  <c r="AE6" i="1"/>
  <c r="I4" i="1"/>
  <c r="Q4" i="1"/>
  <c r="Y4" i="1"/>
  <c r="AG4" i="1"/>
  <c r="H5" i="1"/>
  <c r="P5" i="1"/>
  <c r="X5" i="1"/>
  <c r="AF5" i="1"/>
  <c r="H6" i="1"/>
  <c r="P6" i="1"/>
  <c r="X6" i="1"/>
  <c r="AF6" i="1"/>
  <c r="N6" i="1"/>
  <c r="V6" i="1"/>
  <c r="AD6" i="1"/>
  <c r="J4" i="1"/>
  <c r="R4" i="1"/>
  <c r="Z4" i="1"/>
  <c r="I5" i="1"/>
  <c r="Q5" i="1"/>
  <c r="Y5" i="1"/>
  <c r="I6" i="1"/>
  <c r="Q6" i="1"/>
  <c r="Y6" i="1"/>
  <c r="D5" i="1" l="1"/>
  <c r="AU7" i="1"/>
  <c r="AT7" i="1"/>
  <c r="D2" i="1"/>
  <c r="D3" i="1"/>
  <c r="AJ1" i="1"/>
  <c r="AH1" i="1"/>
  <c r="AI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<sst xmlns="http://schemas.openxmlformats.org/spreadsheetml/2006/main" count="265" uniqueCount="110">
  <si>
    <t>Month#</t>
  </si>
  <si>
    <t>Year#</t>
  </si>
  <si>
    <t>Month</t>
  </si>
  <si>
    <t>Month_Year#</t>
  </si>
  <si>
    <t>Task</t>
  </si>
  <si>
    <t>DD1</t>
  </si>
  <si>
    <t>DD2</t>
  </si>
  <si>
    <t>DD3</t>
  </si>
  <si>
    <t>DD4</t>
  </si>
  <si>
    <t>DD5</t>
  </si>
  <si>
    <t>DD6</t>
  </si>
  <si>
    <t>DD7</t>
  </si>
  <si>
    <t>DD8</t>
  </si>
  <si>
    <t>DD9</t>
  </si>
  <si>
    <t>DD10</t>
  </si>
  <si>
    <t>DD11</t>
  </si>
  <si>
    <t>DD12</t>
  </si>
  <si>
    <t>DD13</t>
  </si>
  <si>
    <t>DD14</t>
  </si>
  <si>
    <t>DD15</t>
  </si>
  <si>
    <t>DD16</t>
  </si>
  <si>
    <t>DD17</t>
  </si>
  <si>
    <t>DD18</t>
  </si>
  <si>
    <t>DD19</t>
  </si>
  <si>
    <t>DD20</t>
  </si>
  <si>
    <t>DD21</t>
  </si>
  <si>
    <t>DD22</t>
  </si>
  <si>
    <t>DD23</t>
  </si>
  <si>
    <t>DD24</t>
  </si>
  <si>
    <t>DD25</t>
  </si>
  <si>
    <t>DD26</t>
  </si>
  <si>
    <t>DD27</t>
  </si>
  <si>
    <t>DD28</t>
  </si>
  <si>
    <t>DD29</t>
  </si>
  <si>
    <t>DD30</t>
  </si>
  <si>
    <t>NOC_Total:</t>
  </si>
  <si>
    <t>DD31</t>
  </si>
  <si>
    <t>Total</t>
  </si>
  <si>
    <t>Task_Duplicate</t>
  </si>
  <si>
    <t>Name</t>
  </si>
  <si>
    <t>Comments</t>
  </si>
  <si>
    <t>State_Total:</t>
  </si>
  <si>
    <t>NonBill_Total:</t>
  </si>
  <si>
    <t>Purposely_Blank</t>
  </si>
  <si>
    <t>Total_Hours:</t>
  </si>
  <si>
    <t>%NOC:</t>
  </si>
  <si>
    <t>%State:</t>
  </si>
  <si>
    <t>TimeStamp_Submission</t>
  </si>
  <si>
    <t>not blank</t>
  </si>
  <si>
    <t>Manual Backup</t>
  </si>
  <si>
    <t>NOC Misc</t>
  </si>
  <si>
    <t>NOC Training</t>
  </si>
  <si>
    <t>NOC Knowledge Transfer</t>
  </si>
  <si>
    <t>NOC ACEC</t>
  </si>
  <si>
    <t>NOC ADMU</t>
  </si>
  <si>
    <t>NOC CRM</t>
  </si>
  <si>
    <t>NOC FPER</t>
  </si>
  <si>
    <t>NOC GRA</t>
  </si>
  <si>
    <t>NOC GTLF</t>
  </si>
  <si>
    <t>NOC LUPA</t>
  </si>
  <si>
    <t>NOC NLCS</t>
  </si>
  <si>
    <t>NOC PLSS</t>
  </si>
  <si>
    <t>NOC RECS</t>
  </si>
  <si>
    <t>NOC RUDD</t>
  </si>
  <si>
    <t>NOC SIGNS</t>
  </si>
  <si>
    <t>NOC SMA</t>
  </si>
  <si>
    <t>NOC SSME</t>
  </si>
  <si>
    <t>NOC TMAP</t>
  </si>
  <si>
    <t>NOC VMAP</t>
  </si>
  <si>
    <t>NOC VRI</t>
  </si>
  <si>
    <t>NOC VTRT</t>
  </si>
  <si>
    <t>NOC WHB</t>
  </si>
  <si>
    <t>NOC Travel</t>
  </si>
  <si>
    <t>NOC Security Clearance</t>
  </si>
  <si>
    <t>STATE Data Analysis</t>
  </si>
  <si>
    <t>STATE Data Editing</t>
  </si>
  <si>
    <t>STATE Data Collection</t>
  </si>
  <si>
    <t>STATE Knowledge Transfer</t>
  </si>
  <si>
    <t>STATE Mapping</t>
  </si>
  <si>
    <t>STATE Meetings</t>
  </si>
  <si>
    <t>STATE Training</t>
  </si>
  <si>
    <t>STATE Travel</t>
  </si>
  <si>
    <t>NON BILL Company Overhead</t>
  </si>
  <si>
    <t>NON BILL PTO/Holiday</t>
  </si>
  <si>
    <t>STATE VRM</t>
  </si>
  <si>
    <t>NOC QAQC</t>
  </si>
  <si>
    <t>NOC AGOL</t>
  </si>
  <si>
    <t>NOC Scripting</t>
  </si>
  <si>
    <t>IPR</t>
  </si>
  <si>
    <t>Other</t>
  </si>
  <si>
    <t>Total_Worked_Hours:</t>
  </si>
  <si>
    <t>STATE Raster Processing/Management</t>
  </si>
  <si>
    <t>STATE LWC</t>
  </si>
  <si>
    <t>STATE SMA</t>
  </si>
  <si>
    <t>January</t>
  </si>
  <si>
    <t>Tasking Breakdown</t>
  </si>
  <si>
    <t>Metadata</t>
  </si>
  <si>
    <t>Testing/Workflow</t>
  </si>
  <si>
    <t>STATE Land Disposal</t>
  </si>
  <si>
    <t>Tia_Flippin</t>
  </si>
  <si>
    <t>Telecommunicatons</t>
  </si>
  <si>
    <t>Raptor Data, PLSS Metadata</t>
  </si>
  <si>
    <t>January_2020</t>
  </si>
  <si>
    <t>Raptor Data</t>
  </si>
  <si>
    <t>Oil and Gas Metadata</t>
  </si>
  <si>
    <t>NOC Meetings</t>
  </si>
  <si>
    <t>February</t>
  </si>
  <si>
    <t>Huddle, Geospatial Call</t>
  </si>
  <si>
    <t>February_2020</t>
  </si>
  <si>
    <t>March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</si>
</sst>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
    <numFmt numFmtId="166" formatCode="m/d/yyyy\ h:mm:ss"/>
    <numFmt numFmtId="167" formatCode="ddd"/>
    <numFmt numFmtId="168" formatCode="dd"/>
    <numFmt numFmtId="169" formatCode="\Ch\a\r\a\c\te\r"/>
    <numFmt numFmtId="170" formatCode="m/d/yy\ h:mm;@"/>
  </numFmts>
  <fonts count="10">
    <font>
      <sz val="10"/>
      <color rgb="FF000000"/>
      <name val="Arial"/>
    </font>
    <font>
      <sz val="10"/>
      <name val="Arial"/>
      <family val="2"/>
    </font>
    <font>
      <b/>
      <sz val="12"/>
      <name val="Arial"/>
      <family val="2"/>
    </font>
    <font>
      <b/>
      <sz val="10"/>
      <name val="Arial"/>
      <family val="2"/>
    </font>
    <font>
      <sz val="11"/>
      <color rgb="FF000000"/>
      <name val="Inconsolata"/>
    </font>
    <font>
      <b/>
      <sz val="11"/>
      <color rgb="FF000000"/>
      <name val="Calibri"/>
      <family val="2"/>
    </font>
    <font>
      <sz val="11"/>
      <color rgb="FF000000"/>
      <name val="Calibri"/>
      <family val="2"/>
    </font>
    <font>
      <sz val="10"/>
      <color rgb="FF000000"/>
      <name val="Arial"/>
      <family val="2"/>
    </font>
    <font>
      <b/>
      <sz val="10"/>
      <name val="Arial"/>
      <family val="2"/>
    </font>
    <font>
      <sz val="10"/>
      <name val="Arial"/>
      <family val="2"/>
    </font>
  </fonts>
  <fills count="10">
    <fill>
      <patternFill patternType="none"/>
    </fill>
    <fill>
      <patternFill patternType="gray125"/>
    </fill>
    <fill>
      <patternFill patternType="solid">
        <fgColor rgb="FFFFFF00"/>
        <bgColor rgb="FFFFFF00"/>
      </patternFill>
    </fill>
    <fill>
      <patternFill patternType="solid">
        <fgColor rgb="FFF9CB9C"/>
        <bgColor rgb="FFF9CB9C"/>
      </patternFill>
    </fill>
    <fill>
      <patternFill patternType="solid">
        <fgColor rgb="FF000000"/>
        <bgColor rgb="FF000000"/>
      </patternFill>
    </fill>
    <fill>
      <patternFill patternType="solid">
        <fgColor rgb="FFD9D9D9"/>
        <bgColor rgb="FFD9D9D9"/>
      </patternFill>
    </fill>
    <fill>
      <patternFill patternType="solid">
        <fgColor rgb="FFD9EAD3"/>
        <bgColor rgb="FFD9EAD3"/>
      </patternFill>
    </fill>
    <fill>
      <patternFill patternType="solid">
        <fgColor rgb="FFB4C6E7"/>
        <bgColor rgb="FFB4C6E7"/>
      </patternFill>
    </fill>
    <fill>
      <patternFill patternType="solid">
        <fgColor theme="2" tint="-9.9978637043366805E-2"/>
        <bgColor indexed="64"/>
      </patternFill>
    </fill>
    <fill>
      <patternFill patternType="solid">
        <fgColor theme="1"/>
        <bgColor indexed="64"/>
      </patternFill>
    </fill>
  </fills>
  <borders count="12">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style="thin">
        <color rgb="FF000000"/>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s>
  <cellStyleXfs count="2">
    <xf numFmtId="0" fontId="0" fillId="0" borderId="0"/>
    <xf numFmtId="0" fontId="7" fillId="0" borderId="0"/>
  </cellStyleXfs>
  <cellXfs count="68">
    <xf numFmtId="0" fontId="0" fillId="0" borderId="0" xfId="0" applyFont="1" applyAlignment="1"/>
    <xf numFmtId="164" fontId="1" fillId="2" borderId="1" xfId="0" applyNumberFormat="1" applyFont="1" applyFill="1" applyBorder="1" applyAlignment="1"/>
    <xf numFmtId="0" fontId="1" fillId="0" borderId="2" xfId="0" applyFont="1" applyBorder="1" applyAlignment="1"/>
    <xf numFmtId="0" fontId="1" fillId="0" borderId="0" xfId="0" applyFont="1" applyAlignment="1"/>
    <xf numFmtId="0" fontId="1" fillId="3" borderId="0" xfId="0" applyFont="1" applyFill="1" applyAlignment="1"/>
    <xf numFmtId="165" fontId="1" fillId="4" borderId="0" xfId="0" applyNumberFormat="1" applyFont="1" applyFill="1" applyAlignment="1"/>
    <xf numFmtId="166" fontId="1" fillId="0" borderId="0" xfId="0" applyNumberFormat="1" applyFont="1" applyAlignment="1"/>
    <xf numFmtId="0" fontId="2" fillId="0" borderId="0" xfId="0" applyFont="1" applyAlignment="1"/>
    <xf numFmtId="0" fontId="3" fillId="5" borderId="3" xfId="0" applyFont="1" applyFill="1" applyBorder="1" applyAlignment="1"/>
    <xf numFmtId="0" fontId="2" fillId="0" borderId="0" xfId="0" applyFont="1" applyAlignment="1"/>
    <xf numFmtId="0" fontId="1" fillId="5" borderId="0" xfId="0" applyFont="1" applyFill="1" applyAlignment="1">
      <alignment horizontal="right"/>
    </xf>
    <xf numFmtId="0" fontId="3" fillId="5" borderId="0" xfId="0" applyFont="1" applyFill="1" applyAlignment="1"/>
    <xf numFmtId="0" fontId="1" fillId="5" borderId="4" xfId="0" applyFont="1" applyFill="1" applyBorder="1" applyAlignment="1"/>
    <xf numFmtId="0" fontId="1" fillId="5" borderId="0" xfId="0" applyFont="1" applyFill="1" applyAlignment="1"/>
    <xf numFmtId="165" fontId="1" fillId="6" borderId="2" xfId="0" applyNumberFormat="1" applyFont="1" applyFill="1" applyBorder="1" applyAlignment="1"/>
    <xf numFmtId="0" fontId="1" fillId="3" borderId="2" xfId="0" applyFont="1" applyFill="1" applyBorder="1" applyAlignment="1"/>
    <xf numFmtId="0" fontId="3" fillId="5" borderId="5" xfId="0" applyFont="1" applyFill="1" applyBorder="1" applyAlignment="1"/>
    <xf numFmtId="0" fontId="4" fillId="5" borderId="2" xfId="0" applyFont="1" applyFill="1" applyBorder="1" applyAlignment="1">
      <alignment horizontal="right"/>
    </xf>
    <xf numFmtId="0" fontId="1" fillId="5" borderId="6" xfId="0" applyFont="1" applyFill="1" applyBorder="1" applyAlignment="1"/>
    <xf numFmtId="167" fontId="3" fillId="7" borderId="4" xfId="0" applyNumberFormat="1" applyFont="1" applyFill="1" applyBorder="1" applyAlignment="1">
      <alignment horizontal="center" textRotation="90"/>
    </xf>
    <xf numFmtId="0" fontId="1" fillId="4" borderId="6" xfId="0" applyFont="1" applyFill="1" applyBorder="1" applyAlignment="1"/>
    <xf numFmtId="0" fontId="1" fillId="4" borderId="0" xfId="0" applyFont="1" applyFill="1" applyAlignment="1"/>
    <xf numFmtId="0" fontId="1" fillId="4" borderId="2" xfId="0" applyFont="1" applyFill="1" applyBorder="1" applyAlignment="1"/>
    <xf numFmtId="166" fontId="1" fillId="4" borderId="2" xfId="0" applyNumberFormat="1" applyFont="1" applyFill="1" applyBorder="1" applyAlignment="1"/>
    <xf numFmtId="0" fontId="5" fillId="7" borderId="7" xfId="0" applyFont="1" applyFill="1" applyBorder="1" applyAlignment="1"/>
    <xf numFmtId="0" fontId="5" fillId="7" borderId="6" xfId="0" applyFont="1" applyFill="1" applyBorder="1" applyAlignment="1"/>
    <xf numFmtId="168" fontId="3" fillId="7" borderId="6" xfId="0" applyNumberFormat="1" applyFont="1" applyFill="1" applyBorder="1" applyAlignment="1">
      <alignment horizontal="right"/>
    </xf>
    <xf numFmtId="0" fontId="3" fillId="3" borderId="6" xfId="0" applyFont="1" applyFill="1" applyBorder="1" applyAlignment="1"/>
    <xf numFmtId="169" fontId="1" fillId="4" borderId="2" xfId="0" applyNumberFormat="1" applyFont="1" applyFill="1" applyBorder="1" applyAlignment="1"/>
    <xf numFmtId="0" fontId="3" fillId="0" borderId="6" xfId="0" applyFont="1" applyBorder="1" applyAlignment="1"/>
    <xf numFmtId="0" fontId="3" fillId="0" borderId="6" xfId="0" applyFont="1" applyBorder="1" applyAlignment="1"/>
    <xf numFmtId="0" fontId="3" fillId="5" borderId="6" xfId="0" applyFont="1" applyFill="1" applyBorder="1" applyAlignment="1"/>
    <xf numFmtId="166" fontId="3" fillId="5" borderId="6" xfId="0" applyNumberFormat="1" applyFont="1" applyFill="1" applyBorder="1" applyAlignment="1"/>
    <xf numFmtId="1" fontId="1" fillId="0" borderId="7" xfId="0" applyNumberFormat="1" applyFont="1" applyBorder="1" applyAlignment="1">
      <alignment horizontal="right"/>
    </xf>
    <xf numFmtId="1" fontId="1" fillId="0" borderId="6" xfId="0" applyNumberFormat="1" applyFont="1" applyBorder="1" applyAlignment="1">
      <alignment horizontal="right"/>
    </xf>
    <xf numFmtId="164" fontId="1" fillId="0" borderId="6" xfId="0" applyNumberFormat="1" applyFont="1" applyBorder="1" applyAlignment="1"/>
    <xf numFmtId="164" fontId="6" fillId="0" borderId="6" xfId="0" applyNumberFormat="1" applyFont="1" applyBorder="1" applyAlignment="1"/>
    <xf numFmtId="165" fontId="1" fillId="0" borderId="6" xfId="0" applyNumberFormat="1" applyFont="1" applyBorder="1" applyAlignment="1"/>
    <xf numFmtId="0" fontId="1" fillId="5" borderId="6" xfId="0" applyFont="1" applyFill="1" applyBorder="1" applyAlignment="1">
      <alignment horizontal="right"/>
    </xf>
    <xf numFmtId="0" fontId="4" fillId="5" borderId="6" xfId="0" applyFont="1" applyFill="1" applyBorder="1" applyAlignment="1">
      <alignment horizontal="right"/>
    </xf>
    <xf numFmtId="166" fontId="1" fillId="5" borderId="6" xfId="0" applyNumberFormat="1" applyFont="1" applyFill="1" applyBorder="1" applyAlignment="1"/>
    <xf numFmtId="165" fontId="1" fillId="0" borderId="0" xfId="0" applyNumberFormat="1" applyFont="1" applyAlignment="1"/>
    <xf numFmtId="0" fontId="1" fillId="0" borderId="4" xfId="0" applyFont="1" applyBorder="1" applyAlignment="1"/>
    <xf numFmtId="165" fontId="1" fillId="0" borderId="0" xfId="0" applyNumberFormat="1" applyFont="1" applyAlignment="1"/>
    <xf numFmtId="0" fontId="3" fillId="3" borderId="0" xfId="0" applyFont="1" applyFill="1" applyAlignment="1"/>
    <xf numFmtId="167" fontId="3" fillId="7" borderId="8" xfId="0" applyNumberFormat="1" applyFont="1" applyFill="1" applyBorder="1" applyAlignment="1">
      <alignment horizontal="center" textRotation="90"/>
    </xf>
    <xf numFmtId="168" fontId="3" fillId="7" borderId="9" xfId="0" applyNumberFormat="1" applyFont="1" applyFill="1" applyBorder="1" applyAlignment="1">
      <alignment horizontal="right"/>
    </xf>
    <xf numFmtId="167" fontId="3" fillId="7" borderId="10" xfId="0" applyNumberFormat="1" applyFont="1" applyFill="1" applyBorder="1" applyAlignment="1">
      <alignment horizontal="center" textRotation="90"/>
    </xf>
    <xf numFmtId="168" fontId="3" fillId="7" borderId="11" xfId="0" applyNumberFormat="1" applyFont="1" applyFill="1" applyBorder="1" applyAlignment="1">
      <alignment horizontal="right"/>
    </xf>
    <xf numFmtId="0" fontId="8" fillId="5" borderId="2" xfId="0" applyFont="1" applyFill="1" applyBorder="1" applyAlignment="1"/>
    <xf numFmtId="0" fontId="9" fillId="0" borderId="6" xfId="0" applyFont="1" applyBorder="1" applyAlignment="1"/>
    <xf numFmtId="0" fontId="1" fillId="8" borderId="6" xfId="0" applyFont="1" applyFill="1" applyBorder="1" applyAlignment="1"/>
    <xf numFmtId="170" fontId="2" fillId="0" borderId="0" xfId="0" applyNumberFormat="1" applyFont="1" applyAlignment="1"/>
    <xf numFmtId="170" fontId="0" fillId="0" borderId="0" xfId="0" applyNumberFormat="1" applyFont="1" applyAlignment="1"/>
    <xf numFmtId="0" fontId="1" fillId="9" borderId="2" xfId="0" applyFont="1" applyFill="1" applyBorder="1" applyAlignment="1"/>
    <xf numFmtId="0" fontId="1" fillId="9" borderId="0" xfId="0" applyFont="1" applyFill="1" applyAlignment="1"/>
    <xf numFmtId="0" fontId="7" fillId="0" borderId="0" xfId="1" applyFont="1" applyAlignment="1"/>
    <xf numFmtId="164" fontId="9" fillId="0" borderId="6" xfId="0" applyNumberFormat="1" applyFont="1" applyBorder="1" applyAlignment="1"/>
    <xf numFmtId="164" fontId="1" fillId="3" borderId="6" xfId="0" applyNumberFormat="1" applyFont="1" applyFill="1" applyBorder="1" applyAlignment="1">
      <alignment horizontal="right"/>
    </xf>
    <xf numFmtId="164" fontId="1" fillId="3" borderId="0" xfId="0" applyNumberFormat="1" applyFont="1" applyFill="1" applyAlignment="1"/>
    <xf numFmtId="1" fontId="1" fillId="0" borderId="0" xfId="0" applyNumberFormat="1" applyFont="1" applyBorder="1" applyAlignment="1">
      <alignment horizontal="right"/>
    </xf>
    <xf numFmtId="164" fontId="1" fillId="0" borderId="0" xfId="0" applyNumberFormat="1" applyFont="1" applyBorder="1" applyAlignment="1"/>
    <xf numFmtId="164" fontId="6" fillId="0" borderId="4" xfId="0" applyNumberFormat="1" applyFont="1" applyBorder="1" applyAlignment="1"/>
    <xf numFmtId="166" fontId="1" fillId="5" borderId="0" xfId="0" applyNumberFormat="1" applyFont="1" applyFill="1" applyBorder="1" applyAlignment="1"/>
    <xf numFmtId="0" fontId="1" fillId="0" borderId="0" xfId="0" applyFont="1" applyFill="1" applyBorder="1" applyAlignment="1">
      <alignment horizontal="right"/>
    </xf>
    <xf numFmtId="0" fontId="1" fillId="0" borderId="0" xfId="0" applyFont="1" applyFill="1" applyBorder="1" applyAlignment="1"/>
    <xf numFmtId="0" fontId="4" fillId="0" borderId="0" xfId="0" applyFont="1" applyFill="1" applyBorder="1" applyAlignment="1">
      <alignment horizontal="right"/>
    </xf>
    <xf numFmtId="0" fontId="1" fillId="0" borderId="6" xfId="0" applyFont="1" applyBorder="1" applyAlignment="1"/>
  </cellXfs>
  <cellStyles count="2">
    <cellStyle name="Normal" xfId="0" builtinId="0"/>
    <cellStyle name="Normal 2" xfId="1" xr:uid="{BDDD17B1-19A3-474F-A5D8-69ED666FBF39}"/>
  </cellStyles>
  <dxfs count="12">
    <dxf>
      <fill>
        <patternFill patternType="solid">
          <fgColor rgb="FFB7B7B7"/>
          <bgColor rgb="FFB7B7B7"/>
        </patternFill>
      </fill>
    </dxf>
    <dxf>
      <fill>
        <patternFill patternType="solid">
          <fgColor rgb="FFD9EAD3"/>
          <bgColor rgb="FFD9EAD3"/>
        </patternFill>
      </fill>
    </dxf>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patternType="solid">
          <fgColor rgb="FFFF00FF"/>
          <bgColor rgb="FFFF00FF"/>
        </patternFill>
      </fill>
    </dxf>
    <dxf>
      <fill>
        <patternFill patternType="solid">
          <fgColor rgb="FFFF00FF"/>
          <bgColor rgb="FFFF00FF"/>
        </patternFill>
      </fill>
    </dxf>
    <dxf>
      <fill>
        <patternFill patternType="solid">
          <fgColor rgb="FFB7B7B7"/>
          <bgColor rgb="FFB7B7B7"/>
        </patternFill>
      </fill>
    </dxf>
    <dxf>
      <fill>
        <patternFill patternType="solid">
          <fgColor rgb="FF000000"/>
          <bgColor rgb="FF000000"/>
        </patternFill>
      </fill>
    </dxf>
    <dxf>
      <fill>
        <patternFill patternType="solid">
          <fgColor rgb="FFD9EAD3"/>
          <bgColor rgb="FFD9EAD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4</xdr:row>
          <xdr:rowOff>7620</xdr:rowOff>
        </xdr:from>
        <xdr:to>
          <xdr:col>4</xdr:col>
          <xdr:colOff>1264920</xdr:colOff>
          <xdr:row>4</xdr:row>
          <xdr:rowOff>365760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New Task Row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38100</xdr:colOff>
          <xdr:row>2</xdr:row>
          <xdr:rowOff>7620</xdr:rowOff>
        </xdr:from>
        <xdr:to>
          <xdr:col>39</xdr:col>
          <xdr:colOff>228600</xdr:colOff>
          <xdr:row>3</xdr:row>
          <xdr:rowOff>175260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Submit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7620</xdr:colOff>
          <xdr:row>2</xdr:row>
          <xdr:rowOff>7620</xdr:rowOff>
        </xdr:from>
        <xdr:to>
          <xdr:col>46</xdr:col>
          <xdr:colOff>190500</xdr:colOff>
          <xdr:row>3</xdr:row>
          <xdr:rowOff>182880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Button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W90"/>
  <sheetViews>
    <sheetView tabSelected="1" workbookViewId="0">
      <selection activeCell="G9" sqref="G9"/>
    </sheetView>
  </sheetViews>
  <sheetFormatPr defaultColWidth="0" defaultRowHeight="15.75" customHeight="1" zeroHeight="1"/>
  <cols>
    <col min="1" max="2" width="14.44140625" customWidth="1"/>
    <col min="3" max="3" width="20.5546875" bestFit="1" customWidth="1"/>
    <col min="4" max="4" width="14.44140625" customWidth="1"/>
    <col min="5" max="5" width="26.5546875" bestFit="1" customWidth="1"/>
    <col min="6" max="9" width="3.33203125" customWidth="1"/>
    <col min="10" max="11" width="4.5546875" bestFit="1" customWidth="1"/>
    <col min="12" max="24" width="3.33203125" customWidth="1"/>
    <col min="25" max="25" width="5.109375" bestFit="1" customWidth="1"/>
    <col min="26" max="26" width="3.33203125" customWidth="1"/>
    <col min="27" max="28" width="4.5546875" bestFit="1" customWidth="1"/>
    <col min="29" max="29" width="4.109375" bestFit="1" customWidth="1"/>
    <col min="30" max="31" width="3.33203125" customWidth="1"/>
    <col min="32" max="32" width="4.5546875" bestFit="1" customWidth="1"/>
    <col min="33" max="33" width="4.109375" bestFit="1" customWidth="1"/>
    <col min="34" max="34" width="4.5546875" bestFit="1" customWidth="1"/>
    <col min="35" max="35" width="4.109375" bestFit="1" customWidth="1"/>
    <col min="36" max="36" width="3.33203125" customWidth="1"/>
    <col min="37" max="39" width="14.44140625" customWidth="1"/>
    <col min="40" max="40" width="25.6640625" bestFit="1" customWidth="1"/>
    <col min="41" max="43" width="14.44140625" customWidth="1"/>
    <col min="44" max="44" width="14.44140625" hidden="1" customWidth="1"/>
    <col min="45" max="47" width="14.44140625" customWidth="1"/>
    <col min="48" max="48" width="23.33203125" hidden="1" customWidth="1"/>
    <col min="49" max="49" width="14.44140625" customWidth="1"/>
    <col min="50" max="16384" width="14.44140625" hidden="1"/>
  </cols>
  <sheetData>
    <row r="1" spans="1:48" ht="15.75" customHeight="1">
      <c r="A1" s="1" t="str">
        <f>D7</f>
        <v>March_2020</v>
      </c>
      <c r="B1" s="2"/>
      <c r="C1" s="2"/>
      <c r="D1" s="2"/>
      <c r="E1" s="55"/>
      <c r="F1" s="3"/>
      <c r="G1" s="3"/>
      <c r="H1" s="3"/>
      <c r="I1" s="3"/>
      <c r="J1" s="3"/>
      <c r="K1" s="3"/>
      <c r="L1" s="3"/>
      <c r="M1" s="3"/>
      <c r="N1" s="3"/>
      <c r="O1" s="3"/>
      <c r="P1" s="3"/>
      <c r="Q1" s="3"/>
      <c r="R1" s="3"/>
      <c r="S1" s="3"/>
      <c r="T1" s="3"/>
      <c r="U1" s="3"/>
      <c r="V1" s="3"/>
      <c r="W1" s="3"/>
      <c r="X1" s="3"/>
      <c r="Y1" s="3"/>
      <c r="Z1" s="3"/>
      <c r="AA1" s="3"/>
      <c r="AB1" s="3"/>
      <c r="AC1" s="3"/>
      <c r="AD1" s="3"/>
      <c r="AE1" s="3"/>
      <c r="AF1" s="3"/>
      <c r="AG1" s="3"/>
      <c r="AH1" s="43" t="b">
        <f>MONTH(F6)=MONTH(AH6)</f>
        <v>1</v>
      </c>
      <c r="AI1" s="43" t="b">
        <f>MONTH(G6)=MONTH(AI6)</f>
        <v>1</v>
      </c>
      <c r="AJ1" s="43" t="b">
        <f>MONTH(H6)=MONTH(AJ6)</f>
        <v>1</v>
      </c>
      <c r="AK1" s="4"/>
      <c r="AL1" s="5"/>
      <c r="AM1" s="3"/>
      <c r="AN1" s="3"/>
      <c r="AO1" s="3"/>
      <c r="AP1" s="3"/>
      <c r="AQ1" s="3"/>
      <c r="AR1" s="3"/>
      <c r="AS1" s="3"/>
      <c r="AT1" s="3"/>
      <c r="AU1" s="3"/>
      <c r="AV1" s="6"/>
    </row>
    <row r="2" spans="1:48" ht="15.75" customHeight="1">
      <c r="A2" s="8" t="s">
        <v>35</v>
      </c>
      <c r="B2" s="10" cm="1">
        <f t="array" ref="B2">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8</v>
      </c>
      <c r="C2" s="11" t="s">
        <v>45</v>
      </c>
      <c r="D2" s="12">
        <f>IFERROR(B2/D5,"")</f>
        <v>1</v>
      </c>
      <c r="E2" s="55"/>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4"/>
      <c r="AL2" s="5"/>
      <c r="AM2" s="3"/>
      <c r="AN2" s="3"/>
      <c r="AO2" s="3"/>
      <c r="AP2" s="3"/>
      <c r="AQ2" s="3"/>
      <c r="AR2" s="3"/>
      <c r="AS2" s="3"/>
      <c r="AT2" s="3"/>
      <c r="AU2" s="3"/>
      <c r="AV2" s="6"/>
    </row>
    <row r="3" spans="1:48" ht="15.75" customHeight="1">
      <c r="A3" s="8" t="s">
        <v>41</v>
      </c>
      <c r="B3" s="10">
        <f>SUM(SUMIF(E:E, {"STATE Data Analysis","STATE Land Disposal","STATE Raster Processing/Management","STATE Data Editing","STATE Data Collection","STATE SMA","STATE Knowledge Transfer","STATE Mapping","STATE Meetings","STATE Training","STATE Travel","STATE VRM","STATE LWC","Testing/Workflow"}, AK:AK))</f>
        <v>0</v>
      </c>
      <c r="C3" s="11" t="s">
        <v>46</v>
      </c>
      <c r="D3" s="12">
        <f>IFERROR(B3/D5,"")</f>
        <v>0</v>
      </c>
      <c r="E3" s="55"/>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4"/>
      <c r="AL3" s="5"/>
      <c r="AM3" s="3"/>
      <c r="AN3" s="3"/>
      <c r="AO3" s="3"/>
      <c r="AP3" s="3"/>
      <c r="AQ3" s="3"/>
      <c r="AR3" s="3"/>
      <c r="AS3" s="3"/>
      <c r="AT3" s="3"/>
      <c r="AU3" s="3"/>
      <c r="AV3" s="6"/>
    </row>
    <row r="4" spans="1:48" ht="15.75" customHeight="1">
      <c r="A4" s="8" t="s">
        <v>42</v>
      </c>
      <c r="B4" s="10">
        <f t="array" ref="B4">SUM(SUMIF(E:E, {"NON BILL Company Overhead","NON BILL PTO/Holiday"}, AK:AK))</f>
        <v>0</v>
      </c>
      <c r="C4" s="13"/>
      <c r="D4" s="12"/>
      <c r="E4" s="54"/>
      <c r="F4" s="14">
        <f t="array" ref="F4:AJ4">TRANSPOSE(DATE($B$7,MONTH(C7&amp;1),1)+TRANSPOSE(COLUMN($C$1:$AN$1)-3))</f>
        <v>43891</v>
      </c>
      <c r="G4" s="14">
        <v>43892</v>
      </c>
      <c r="H4" s="14">
        <v>43893</v>
      </c>
      <c r="I4" s="14">
        <v>43894</v>
      </c>
      <c r="J4" s="14">
        <v>43895</v>
      </c>
      <c r="K4" s="14">
        <v>43896</v>
      </c>
      <c r="L4" s="14">
        <v>43897</v>
      </c>
      <c r="M4" s="14">
        <v>43898</v>
      </c>
      <c r="N4" s="14">
        <v>43899</v>
      </c>
      <c r="O4" s="14">
        <v>43900</v>
      </c>
      <c r="P4" s="14">
        <v>43901</v>
      </c>
      <c r="Q4" s="14">
        <v>43902</v>
      </c>
      <c r="R4" s="14">
        <v>43903</v>
      </c>
      <c r="S4" s="14">
        <v>43904</v>
      </c>
      <c r="T4" s="14">
        <v>43905</v>
      </c>
      <c r="U4" s="14">
        <v>43906</v>
      </c>
      <c r="V4" s="14">
        <v>43907</v>
      </c>
      <c r="W4" s="14">
        <v>43908</v>
      </c>
      <c r="X4" s="14">
        <v>43909</v>
      </c>
      <c r="Y4" s="14">
        <v>43910</v>
      </c>
      <c r="Z4" s="14">
        <v>43911</v>
      </c>
      <c r="AA4" s="14">
        <v>43912</v>
      </c>
      <c r="AB4" s="14">
        <v>43913</v>
      </c>
      <c r="AC4" s="14">
        <v>43914</v>
      </c>
      <c r="AD4" s="14">
        <v>43915</v>
      </c>
      <c r="AE4" s="14">
        <v>43916</v>
      </c>
      <c r="AF4" s="14">
        <v>43917</v>
      </c>
      <c r="AG4" s="14">
        <v>43918</v>
      </c>
      <c r="AH4" s="14">
        <v>43919</v>
      </c>
      <c r="AI4" s="14">
        <v>43920</v>
      </c>
      <c r="AJ4" s="14">
        <v>43921</v>
      </c>
      <c r="AK4" s="15"/>
      <c r="AL4" s="5"/>
      <c r="AM4" s="3"/>
      <c r="AN4" s="3"/>
      <c r="AO4" s="3"/>
      <c r="AP4" s="3"/>
      <c r="AQ4" s="3"/>
      <c r="AR4" s="3"/>
      <c r="AS4" s="3"/>
      <c r="AT4" s="3"/>
      <c r="AU4" s="3"/>
      <c r="AV4" s="6"/>
    </row>
    <row r="5" spans="1:48" ht="30" customHeight="1">
      <c r="A5" s="16" t="s">
        <v>44</v>
      </c>
      <c r="B5" s="17">
        <f ca="1">AK13</f>
        <v>8</v>
      </c>
      <c r="C5" s="49" t="s">
        <v>90</v>
      </c>
      <c r="D5" s="18">
        <f>B2+B3</f>
        <v>8</v>
      </c>
      <c r="E5" s="51"/>
      <c r="F5" s="45">
        <f t="array" ref="F5:AJ5">TRANSPOSE(DATE($B$7,MONTH(C7&amp;1),1)+TRANSPOSE(COLUMN($C$1:$AN$1)-3))</f>
        <v>43891</v>
      </c>
      <c r="G5" s="47">
        <v>43892</v>
      </c>
      <c r="H5" s="47">
        <v>43893</v>
      </c>
      <c r="I5" s="47">
        <v>43894</v>
      </c>
      <c r="J5" s="47">
        <v>43895</v>
      </c>
      <c r="K5" s="47">
        <v>43896</v>
      </c>
      <c r="L5" s="47">
        <v>43897</v>
      </c>
      <c r="M5" s="47">
        <v>43898</v>
      </c>
      <c r="N5" s="47">
        <v>43899</v>
      </c>
      <c r="O5" s="47">
        <v>43900</v>
      </c>
      <c r="P5" s="47">
        <v>43901</v>
      </c>
      <c r="Q5" s="47">
        <v>43902</v>
      </c>
      <c r="R5" s="47">
        <v>43903</v>
      </c>
      <c r="S5" s="47">
        <v>43904</v>
      </c>
      <c r="T5" s="47">
        <v>43905</v>
      </c>
      <c r="U5" s="47">
        <v>43906</v>
      </c>
      <c r="V5" s="47">
        <v>43907</v>
      </c>
      <c r="W5" s="47">
        <v>43908</v>
      </c>
      <c r="X5" s="47">
        <v>43909</v>
      </c>
      <c r="Y5" s="47">
        <v>43910</v>
      </c>
      <c r="Z5" s="47">
        <v>43911</v>
      </c>
      <c r="AA5" s="47">
        <v>43912</v>
      </c>
      <c r="AB5" s="47">
        <v>43913</v>
      </c>
      <c r="AC5" s="47">
        <v>43914</v>
      </c>
      <c r="AD5" s="47">
        <v>43915</v>
      </c>
      <c r="AE5" s="47">
        <v>43916</v>
      </c>
      <c r="AF5" s="47">
        <v>43917</v>
      </c>
      <c r="AG5" s="47">
        <v>43918</v>
      </c>
      <c r="AH5" s="47">
        <v>43919</v>
      </c>
      <c r="AI5" s="47">
        <v>43920</v>
      </c>
      <c r="AJ5" s="19">
        <v>43921</v>
      </c>
      <c r="AK5" s="20"/>
      <c r="AL5" s="5"/>
      <c r="AM5" s="21"/>
      <c r="AN5" s="22"/>
      <c r="AO5" s="22"/>
      <c r="AP5" s="22"/>
      <c r="AQ5" s="22"/>
      <c r="AR5" s="22"/>
      <c r="AS5" s="22"/>
      <c r="AT5" s="22"/>
      <c r="AU5" s="22"/>
      <c r="AV5" s="23"/>
    </row>
    <row r="6" spans="1:48" ht="14.4">
      <c r="A6" s="24" t="s">
        <v>0</v>
      </c>
      <c r="B6" s="25" t="s">
        <v>1</v>
      </c>
      <c r="C6" s="25" t="s">
        <v>2</v>
      </c>
      <c r="D6" s="25" t="s">
        <v>3</v>
      </c>
      <c r="E6" s="25" t="s">
        <v>4</v>
      </c>
      <c r="F6" s="46">
        <f t="array" ref="F6:AJ6">TRANSPOSE(DATE($B$7,MONTH(C7&amp;1),1)+TRANSPOSE(COLUMN($C$1:$AN$1)-3))</f>
        <v>43891</v>
      </c>
      <c r="G6" s="48">
        <v>43892</v>
      </c>
      <c r="H6" s="48">
        <v>43893</v>
      </c>
      <c r="I6" s="48">
        <v>43894</v>
      </c>
      <c r="J6" s="48">
        <v>43895</v>
      </c>
      <c r="K6" s="48">
        <v>43896</v>
      </c>
      <c r="L6" s="48">
        <v>43897</v>
      </c>
      <c r="M6" s="48">
        <v>43898</v>
      </c>
      <c r="N6" s="48">
        <v>43899</v>
      </c>
      <c r="O6" s="48">
        <v>43900</v>
      </c>
      <c r="P6" s="48">
        <v>43901</v>
      </c>
      <c r="Q6" s="48">
        <v>43902</v>
      </c>
      <c r="R6" s="48">
        <v>43903</v>
      </c>
      <c r="S6" s="48">
        <v>43904</v>
      </c>
      <c r="T6" s="48">
        <v>43905</v>
      </c>
      <c r="U6" s="48">
        <v>43906</v>
      </c>
      <c r="V6" s="48">
        <v>43907</v>
      </c>
      <c r="W6" s="48">
        <v>43908</v>
      </c>
      <c r="X6" s="48">
        <v>43909</v>
      </c>
      <c r="Y6" s="48">
        <v>43910</v>
      </c>
      <c r="Z6" s="48">
        <v>43911</v>
      </c>
      <c r="AA6" s="48">
        <v>43912</v>
      </c>
      <c r="AB6" s="48">
        <v>43913</v>
      </c>
      <c r="AC6" s="48">
        <v>43914</v>
      </c>
      <c r="AD6" s="48">
        <v>43915</v>
      </c>
      <c r="AE6" s="48">
        <v>43916</v>
      </c>
      <c r="AF6" s="48">
        <v>43917</v>
      </c>
      <c r="AG6" s="48">
        <v>43918</v>
      </c>
      <c r="AH6" s="48">
        <v>43919</v>
      </c>
      <c r="AI6" s="48">
        <v>43920</v>
      </c>
      <c r="AJ6" s="26">
        <v>43921</v>
      </c>
      <c r="AK6" s="27" t="s">
        <v>37</v>
      </c>
      <c r="AL6" s="28"/>
      <c r="AM6" s="29" t="s">
        <v>39</v>
      </c>
      <c r="AN6" s="30" t="s">
        <v>40</v>
      </c>
      <c r="AO6" s="31" t="s">
        <v>35</v>
      </c>
      <c r="AP6" s="31" t="s">
        <v>41</v>
      </c>
      <c r="AQ6" s="31" t="s">
        <v>42</v>
      </c>
      <c r="AR6" s="18"/>
      <c r="AS6" s="31" t="s">
        <v>44</v>
      </c>
      <c r="AT6" s="31" t="s">
        <v>45</v>
      </c>
      <c r="AU6" s="31" t="s">
        <v>46</v>
      </c>
      <c r="AV6" s="32" t="s">
        <v>47</v>
      </c>
    </row>
    <row r="7" spans="1:48" ht="14.4">
      <c r="A7" s="33">
        <f>IF(
C7 = "January",1,
IF(C7 = "February",2,
IF(C7 = "March",3,
IF(C7 = "April",4,
IF(C7 = "May",5,
IF(C7 = "June",6,
IF(C7 = "July",7,
IF(C7 = "August",8,
IF(C7 = "September",9,
IF(C7 = "October",10,
IF(C7 = "November",11,
IF(C7 = "December",12))))))))))))</f>
        <v>3</v>
      </c>
      <c r="B7" s="34">
        <v>2020</v>
      </c>
      <c r="C7" s="35" t="s">
        <v>109</v>
      </c>
      <c r="D7" s="36" t="str">
        <f>C7&amp;"_"&amp;B7</f>
        <v>March_2020</v>
      </c>
      <c r="E7" s="35" t="s">
        <v>50</v>
      </c>
      <c r="F7" s="35"/>
      <c r="G7" s="35">
        <v>1</v>
      </c>
      <c r="H7" s="35"/>
      <c r="J7" s="35"/>
      <c r="K7" s="35"/>
      <c r="L7" s="35"/>
      <c r="M7" s="35"/>
      <c r="N7" s="35"/>
      <c r="O7" s="35"/>
      <c r="P7" s="35"/>
      <c r="Q7" s="35"/>
      <c r="R7" s="35"/>
      <c r="S7" s="35"/>
      <c r="T7" s="35"/>
      <c r="U7" s="35"/>
      <c r="V7" s="35"/>
      <c r="W7" s="35"/>
      <c r="X7" s="35"/>
      <c r="Y7" s="35"/>
      <c r="Z7" s="35"/>
      <c r="AA7" s="35"/>
      <c r="AB7" s="35"/>
      <c r="AC7" s="35"/>
      <c r="AD7" s="35"/>
      <c r="AE7" s="35"/>
      <c r="AF7" s="35"/>
      <c r="AG7" s="35"/>
      <c r="AH7" s="57"/>
      <c r="AI7" s="35"/>
      <c r="AJ7" s="35"/>
      <c r="AK7" s="58">
        <f t="shared" ref="AK7:AK12" si="0">SUM(F7:AJ7)</f>
        <v>1</v>
      </c>
      <c r="AL7" s="37" t="str">
        <f t="shared" ref="AL7:AL12" si="1">E7</f>
        <v>NOC Misc</v>
      </c>
      <c r="AM7" s="50" t="s">
        <v>99</v>
      </c>
      <c r="AN7" s="67"/>
      <c r="AO7" s="38" cm="1">
        <f t="array" ref="AO7">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8</v>
      </c>
      <c r="AP7" s="38">
        <f>SUM(SUMIF(E:E, {"STATE Data Analysis","STATE Land Disposal","STATE Raster Processing/Management","STATE Data Editing","STATE Data Collection","STATE SMA","STATE Knowledge Transfer","STATE Mapping","STATE Meetings","STATE Training","STATE Travel","STATE VRM","STATE LWC","Testing/Workflow"}, AK:AK))</f>
        <v>0</v>
      </c>
      <c r="AQ7" s="38">
        <f t="array" ref="AQ7">SUM(SUMIF(E:E, {"NON BILL Company Overhead","NON BILL PTO/Holiday"}, AK:AK))</f>
        <v>0</v>
      </c>
      <c r="AR7" s="18"/>
      <c r="AS7" s="39">
        <f ca="1">AK13</f>
        <v>8</v>
      </c>
      <c r="AT7" s="38">
        <f>IFERROR(AO7/D5,"")</f>
        <v>1</v>
      </c>
      <c r="AU7" s="38">
        <f>IFERROR(AP7/D5,"")</f>
        <v>0</v>
      </c>
      <c r="AV7" s="40"/>
    </row>
    <row r="8" spans="1:48" ht="14.4">
      <c r="A8" s="60"/>
      <c r="B8" s="60"/>
      <c r="C8" s="61"/>
      <c r="D8" s="62"/>
      <c r="E8" s="35" t="s">
        <v>58</v>
      </c>
      <c r="F8" s="35"/>
      <c r="G8" s="35">
        <v>7</v>
      </c>
      <c r="H8" s="35"/>
      <c r="J8" s="35"/>
      <c r="K8" s="35"/>
      <c r="L8" s="35"/>
      <c r="M8" s="35"/>
      <c r="N8" s="35"/>
      <c r="O8" s="35"/>
      <c r="P8" s="35"/>
      <c r="Q8" s="35"/>
      <c r="R8" s="35"/>
      <c r="S8" s="35"/>
      <c r="T8" s="35"/>
      <c r="U8" s="35"/>
      <c r="V8" s="35"/>
      <c r="W8" s="35"/>
      <c r="X8" s="35"/>
      <c r="Y8" s="35"/>
      <c r="Z8" s="35"/>
      <c r="AA8" s="35"/>
      <c r="AB8" s="35"/>
      <c r="AC8" s="35"/>
      <c r="AD8" s="35"/>
      <c r="AE8" s="35"/>
      <c r="AF8" s="35"/>
      <c r="AG8" s="35"/>
      <c r="AH8" s="57"/>
      <c r="AI8" s="35"/>
      <c r="AJ8" s="35"/>
      <c r="AK8" s="58">
        <f t="shared" si="0"/>
        <v>7</v>
      </c>
      <c r="AL8" s="37" t="str">
        <f t="shared" si="1"/>
        <v>NOC GTLF</v>
      </c>
      <c r="AM8" s="50" t="s">
        <v>99</v>
      </c>
      <c r="AN8" s="67"/>
      <c r="AO8" s="64"/>
      <c r="AP8" s="64"/>
      <c r="AQ8" s="64"/>
      <c r="AR8" s="65"/>
      <c r="AS8" s="66"/>
      <c r="AT8" s="64"/>
      <c r="AU8" s="64"/>
      <c r="AV8" s="63"/>
    </row>
    <row r="9" spans="1:48" ht="14.4">
      <c r="A9" s="60"/>
      <c r="B9" s="60"/>
      <c r="C9" s="61"/>
      <c r="D9" s="62"/>
      <c r="E9" s="35" t="s">
        <v>75</v>
      </c>
      <c r="F9" s="35"/>
      <c r="G9" s="35"/>
      <c r="H9" s="35"/>
      <c r="J9" s="35"/>
      <c r="K9" s="35"/>
      <c r="L9" s="35"/>
      <c r="M9" s="35"/>
      <c r="N9" s="35"/>
      <c r="O9" s="35"/>
      <c r="P9" s="35"/>
      <c r="Q9" s="35"/>
      <c r="R9" s="35"/>
      <c r="S9" s="35"/>
      <c r="T9" s="35"/>
      <c r="U9" s="35"/>
      <c r="V9" s="35"/>
      <c r="W9" s="35"/>
      <c r="X9" s="35"/>
      <c r="Y9" s="35"/>
      <c r="Z9" s="35"/>
      <c r="AA9" s="35"/>
      <c r="AB9" s="35"/>
      <c r="AC9" s="35"/>
      <c r="AD9" s="35"/>
      <c r="AE9" s="35"/>
      <c r="AF9" s="35"/>
      <c r="AG9" s="35"/>
      <c r="AH9" s="57"/>
      <c r="AI9" s="35"/>
      <c r="AJ9" s="35"/>
      <c r="AK9" s="58">
        <f t="shared" si="0"/>
        <v>0</v>
      </c>
      <c r="AL9" s="37" t="str">
        <f t="shared" si="1"/>
        <v>STATE Data Editing</v>
      </c>
      <c r="AM9" s="50" t="s">
        <v>99</v>
      </c>
      <c r="AN9" s="67"/>
      <c r="AO9" s="64"/>
      <c r="AP9" s="64"/>
      <c r="AQ9" s="64"/>
      <c r="AR9" s="65"/>
      <c r="AS9" s="66"/>
      <c r="AT9" s="64"/>
      <c r="AU9" s="64"/>
      <c r="AV9" s="63"/>
    </row>
    <row r="10" spans="1:48" ht="14.4">
      <c r="A10" s="60"/>
      <c r="B10" s="60"/>
      <c r="C10" s="61"/>
      <c r="D10" s="62"/>
      <c r="E10" s="35" t="s">
        <v>79</v>
      </c>
      <c r="F10" s="35"/>
      <c r="G10" s="35"/>
      <c r="H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57"/>
      <c r="AI10" s="35"/>
      <c r="AJ10" s="35"/>
      <c r="AK10" s="58">
        <f t="shared" si="0"/>
        <v>0</v>
      </c>
      <c r="AL10" s="37" t="str">
        <f t="shared" si="1"/>
        <v>STATE Meetings</v>
      </c>
      <c r="AM10" s="50" t="s">
        <v>99</v>
      </c>
      <c r="AN10" s="67"/>
      <c r="AO10" s="64"/>
      <c r="AP10" s="64"/>
      <c r="AQ10" s="64"/>
      <c r="AR10" s="65"/>
      <c r="AS10" s="66"/>
      <c r="AT10" s="64"/>
      <c r="AU10" s="64"/>
      <c r="AV10" s="63"/>
    </row>
    <row r="11" spans="1:48" ht="14.4">
      <c r="A11" s="60"/>
      <c r="B11" s="60"/>
      <c r="C11" s="61"/>
      <c r="D11" s="62"/>
      <c r="E11" s="35" t="s">
        <v>82</v>
      </c>
      <c r="F11" s="35"/>
      <c r="G11" s="35"/>
      <c r="H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57"/>
      <c r="AI11" s="35"/>
      <c r="AJ11" s="35"/>
      <c r="AK11" s="58">
        <f t="shared" si="0"/>
        <v>0</v>
      </c>
      <c r="AL11" s="37" t="str">
        <f t="shared" si="1"/>
        <v>NON BILL Company Overhead</v>
      </c>
      <c r="AM11" s="50" t="s">
        <v>99</v>
      </c>
      <c r="AN11" s="67"/>
      <c r="AO11" s="64"/>
      <c r="AP11" s="64"/>
      <c r="AQ11" s="64"/>
      <c r="AR11" s="65"/>
      <c r="AS11" s="66"/>
      <c r="AT11" s="64"/>
      <c r="AU11" s="64"/>
      <c r="AV11" s="63"/>
    </row>
    <row r="12" spans="1:48" ht="14.4">
      <c r="A12" s="60"/>
      <c r="B12" s="60"/>
      <c r="C12" s="61"/>
      <c r="D12" s="62"/>
      <c r="E12" s="35" t="s">
        <v>83</v>
      </c>
      <c r="F12" s="35"/>
      <c r="G12" s="35"/>
      <c r="H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57"/>
      <c r="AI12" s="35"/>
      <c r="AJ12" s="35"/>
      <c r="AK12" s="58">
        <f t="shared" si="0"/>
        <v>0</v>
      </c>
      <c r="AL12" s="37" t="str">
        <f t="shared" si="1"/>
        <v>NON BILL PTO/Holiday</v>
      </c>
      <c r="AM12" s="50" t="s">
        <v>99</v>
      </c>
      <c r="AN12" s="67"/>
      <c r="AO12" s="64"/>
      <c r="AP12" s="64"/>
      <c r="AQ12" s="64"/>
      <c r="AR12" s="65"/>
      <c r="AS12" s="66"/>
      <c r="AT12" s="64"/>
      <c r="AU12" s="64"/>
      <c r="AV12" s="63"/>
    </row>
    <row r="13" spans="1:48" ht="15.75" customHeight="1">
      <c r="A13" s="41" t="s">
        <v>48</v>
      </c>
      <c r="B13" s="3"/>
      <c r="C13" s="3"/>
      <c r="D13" s="42"/>
      <c r="E13" s="27" t="s">
        <v>37</v>
      </c>
      <c r="F13" s="58">
        <f ca="1">SUM(INDIRECT("F7:F"&amp;ROW()-1))</f>
        <v>0</v>
      </c>
      <c r="G13" s="58">
        <f ca="1">SUM(INDIRECT("G7:G"&amp;ROW()-1))</f>
        <v>8</v>
      </c>
      <c r="H13" s="58">
        <f ca="1">SUM(INDIRECT("H7:H"&amp;ROW()-1))</f>
        <v>0</v>
      </c>
      <c r="I13" s="58">
        <f ca="1">SUM(INDIRECT("I7:I"&amp;ROW()-1))</f>
        <v>0</v>
      </c>
      <c r="J13" s="58">
        <f ca="1">SUM(INDIRECT("J7:J"&amp;ROW()-1))</f>
        <v>0</v>
      </c>
      <c r="K13" s="58">
        <f ca="1">SUM(INDIRECT("K7:K"&amp;ROW()-1))</f>
        <v>0</v>
      </c>
      <c r="L13" s="58">
        <f ca="1">SUM(INDIRECT("L7:L"&amp;ROW()-1))</f>
        <v>0</v>
      </c>
      <c r="M13" s="58">
        <f ca="1">SUM(INDIRECT("M7:M"&amp;ROW()-1))</f>
        <v>0</v>
      </c>
      <c r="N13" s="58">
        <f ca="1">SUM(INDIRECT("N7:N"&amp;ROW()-1))</f>
        <v>0</v>
      </c>
      <c r="O13" s="58">
        <f ca="1">SUM(INDIRECT("O7:O"&amp;ROW()-1))</f>
        <v>0</v>
      </c>
      <c r="P13" s="58">
        <f ca="1">SUM(INDIRECT("P7:P"&amp;ROW()-1))</f>
        <v>0</v>
      </c>
      <c r="Q13" s="58">
        <f ca="1">SUM(INDIRECT("Q7:Q"&amp;ROW()-1))</f>
        <v>0</v>
      </c>
      <c r="R13" s="58">
        <f ca="1">SUM(INDIRECT("R7:R"&amp;ROW()-1))</f>
        <v>0</v>
      </c>
      <c r="S13" s="58">
        <f ca="1">SUM(INDIRECT("S7:S"&amp;ROW()-1))</f>
        <v>0</v>
      </c>
      <c r="T13" s="58">
        <f ca="1">SUM(INDIRECT("T7:T"&amp;ROW()-1))</f>
        <v>0</v>
      </c>
      <c r="U13" s="58">
        <f ca="1">SUM(INDIRECT("U7:U"&amp;ROW()-1))</f>
        <v>0</v>
      </c>
      <c r="V13" s="58">
        <f ca="1">SUM(INDIRECT("V7:V"&amp;ROW()-1))</f>
        <v>0</v>
      </c>
      <c r="W13" s="58">
        <f ca="1">SUM(INDIRECT("W7:W"&amp;ROW()-1))</f>
        <v>0</v>
      </c>
      <c r="X13" s="58">
        <f ca="1">SUM(INDIRECT("X7:X"&amp;ROW()-1))</f>
        <v>0</v>
      </c>
      <c r="Y13" s="58">
        <f ca="1">SUM(INDIRECT("Y7:Y"&amp;ROW()-1))</f>
        <v>0</v>
      </c>
      <c r="Z13" s="58">
        <f ca="1">SUM(INDIRECT("Z7:Z"&amp;ROW()-1))</f>
        <v>0</v>
      </c>
      <c r="AA13" s="58">
        <f ca="1">SUM(INDIRECT("AA7:AA"&amp;ROW()-1))</f>
        <v>0</v>
      </c>
      <c r="AB13" s="58">
        <f ca="1">SUM(INDIRECT("AB7:AB"&amp;ROW()-1))</f>
        <v>0</v>
      </c>
      <c r="AC13" s="58">
        <f ca="1">SUM(INDIRECT("AC7:AC"&amp;ROW()-1))</f>
        <v>0</v>
      </c>
      <c r="AD13" s="58"/>
      <c r="AE13" s="58"/>
      <c r="AF13" s="58">
        <f ca="1">SUM(INDIRECT("AF7:AF"&amp;ROW()-1))</f>
        <v>0</v>
      </c>
      <c r="AG13" s="58">
        <f ca="1">SUM(INDIRECT("AG7:AG"&amp;ROW()-1))</f>
        <v>0</v>
      </c>
      <c r="AH13" s="58">
        <f ca="1">SUM(INDIRECT("AH7:AH"&amp;ROW()-1))</f>
        <v>0</v>
      </c>
      <c r="AI13" s="58">
        <f ca="1">SUM(INDIRECT("AI7:AI"&amp;ROW()-1))</f>
        <v>0</v>
      </c>
      <c r="AJ13" s="58">
        <f ca="1">SUM(INDIRECT("AJ7:AJ"&amp;ROW()-1))</f>
        <v>0</v>
      </c>
      <c r="AK13" s="58">
        <f ca="1">SUM(INDIRECT("AK7:AK"&amp;ROW()-1))</f>
        <v>8</v>
      </c>
      <c r="AL13" s="43"/>
      <c r="AM13" s="3"/>
      <c r="AN13" s="3"/>
      <c r="AO13" s="3"/>
      <c r="AP13" s="3"/>
      <c r="AQ13" s="3"/>
      <c r="AR13" s="3"/>
      <c r="AS13" s="3"/>
      <c r="AT13" s="3"/>
      <c r="AU13" s="3"/>
      <c r="AV13" s="6"/>
    </row>
    <row r="14" spans="1:48" ht="15.75" customHeight="1">
      <c r="A14" s="41" t="s">
        <v>48</v>
      </c>
      <c r="B14" s="3"/>
      <c r="C14" s="3"/>
      <c r="D14" s="3"/>
      <c r="E14" s="44" t="s">
        <v>49</v>
      </c>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43"/>
      <c r="AM14" s="3"/>
      <c r="AN14" s="3"/>
      <c r="AO14" s="3"/>
      <c r="AP14" s="3"/>
      <c r="AQ14" s="3"/>
      <c r="AR14" s="3"/>
      <c r="AS14" s="3"/>
      <c r="AT14" s="3"/>
      <c r="AU14" s="3"/>
      <c r="AV14" s="6"/>
    </row>
    <row r="15" spans="1:48" ht="15.75" customHeight="1"/>
    <row r="16" spans="1:48"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sheetData>
  <conditionalFormatting sqref="F1:AJ6 F7:H12 M7:AJ12 F13:AJ14">
    <cfRule type="expression" dxfId="11" priority="48">
      <formula>F$4=TODAY()</formula>
    </cfRule>
  </conditionalFormatting>
  <conditionalFormatting sqref="AH1:AJ14">
    <cfRule type="expression" dxfId="10" priority="49">
      <formula>AH$5=""</formula>
    </cfRule>
  </conditionalFormatting>
  <conditionalFormatting sqref="F1:AJ6 F7:H12 M7:AJ12 F13:AJ14">
    <cfRule type="expression" dxfId="9" priority="50">
      <formula>OR(WEEKDAY(F$5)=1,WEEKDAY(F$5)=7)</formula>
    </cfRule>
  </conditionalFormatting>
  <conditionalFormatting sqref="A13:AV14 A1:AV6 A7:H12 J7:AV7 AV8:AV12 J8:AN12">
    <cfRule type="expression" dxfId="8" priority="51">
      <formula>$E1="NON BILL PTO/Holiday"</formula>
    </cfRule>
  </conditionalFormatting>
  <conditionalFormatting sqref="A13:AV14 A1:AV6 A7:H12 J7:AV7 AV8:AV12 J8:AN12">
    <cfRule type="expression" dxfId="7" priority="52">
      <formula>$E1="NON BILL Company Overhead"</formula>
    </cfRule>
  </conditionalFormatting>
  <conditionalFormatting sqref="AH1:AH1048576">
    <cfRule type="expression" dxfId="6" priority="42">
      <formula>$AH$1=FALSE</formula>
    </cfRule>
  </conditionalFormatting>
  <conditionalFormatting sqref="AI1:AI1048576">
    <cfRule type="expression" dxfId="5" priority="41">
      <formula>$AI$1=FALSE</formula>
    </cfRule>
  </conditionalFormatting>
  <conditionalFormatting sqref="AJ1:AJ1048576">
    <cfRule type="expression" dxfId="4" priority="40">
      <formula>$AJ$1=FALSE</formula>
    </cfRule>
  </conditionalFormatting>
  <conditionalFormatting sqref="AL1:AL1048576">
    <cfRule type="duplicateValues" dxfId="3" priority="38"/>
  </conditionalFormatting>
  <conditionalFormatting sqref="E1:E1048576">
    <cfRule type="duplicateValues" dxfId="2" priority="37"/>
  </conditionalFormatting>
  <conditionalFormatting sqref="J7:L12">
    <cfRule type="expression" dxfId="1" priority="54">
      <formula>I$4=TODAY()</formula>
    </cfRule>
  </conditionalFormatting>
  <conditionalFormatting sqref="J7:L12">
    <cfRule type="expression" dxfId="0" priority="57">
      <formula>OR(WEEKDAY(I$5)=1,WEEKDAY(I$5)=7)</formula>
    </cfRule>
  </conditionalFormatting>
  <dataValidations count="2">
    <dataValidation type="list" allowBlank="1" sqref="B7:B12" xr:uid="{00000000-0002-0000-0000-000000000000}">
      <formula1>"2019,2020,2021,2022,2023,2024,2025,2026,2027,2028,2029,2030"</formula1>
    </dataValidation>
    <dataValidation type="list" allowBlank="1" sqref="C7:C12" xr:uid="{00000000-0002-0000-0000-000001000000}">
      <formula1>"January,February,March,April,May,June,July,August,September,October,November,December"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New_Task_Row_Button">
                <anchor moveWithCells="1" sizeWithCells="1">
                  <from>
                    <xdr:col>4</xdr:col>
                    <xdr:colOff>7620</xdr:colOff>
                    <xdr:row>4</xdr:row>
                    <xdr:rowOff>7620</xdr:rowOff>
                  </from>
                  <to>
                    <xdr:col>4</xdr:col>
                    <xdr:colOff>1264920</xdr:colOff>
                    <xdr:row>4</xdr:row>
                    <xdr:rowOff>365760</xdr:rowOff>
                  </to>
                </anchor>
              </controlPr>
            </control>
          </mc:Choice>
        </mc:AlternateContent>
        <mc:AlternateContent xmlns:mc="http://schemas.openxmlformats.org/markup-compatibility/2006">
          <mc:Choice Requires="x14">
            <control shapeId="1035" r:id="rId5" name="Button 11">
              <controlPr defaultSize="0" print="0" autoFill="0" autoPict="0" macro="[0]!Submit_button">
                <anchor moveWithCells="1" sizeWithCells="1">
                  <from>
                    <xdr:col>38</xdr:col>
                    <xdr:colOff>38100</xdr:colOff>
                    <xdr:row>2</xdr:row>
                    <xdr:rowOff>7620</xdr:rowOff>
                  </from>
                  <to>
                    <xdr:col>39</xdr:col>
                    <xdr:colOff>228600</xdr:colOff>
                    <xdr:row>3</xdr:row>
                    <xdr:rowOff>175260</xdr:rowOff>
                  </to>
                </anchor>
              </controlPr>
            </control>
          </mc:Choice>
        </mc:AlternateContent>
        <mc:AlternateContent xmlns:mc="http://schemas.openxmlformats.org/markup-compatibility/2006">
          <mc:Choice Requires="x14">
            <control shapeId="1041" r:id="rId6" name="Button 17">
              <controlPr defaultSize="0" print="0" autoFill="0" autoPict="0" macro="[0]!Reset_Button">
                <anchor moveWithCells="1" sizeWithCells="1">
                  <from>
                    <xdr:col>45</xdr:col>
                    <xdr:colOff>7620</xdr:colOff>
                    <xdr:row>2</xdr:row>
                    <xdr:rowOff>7620</xdr:rowOff>
                  </from>
                  <to>
                    <xdr:col>46</xdr:col>
                    <xdr:colOff>190500</xdr:colOff>
                    <xdr:row>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Sheet3!$A:$A</xm:f>
          </x14:formula1>
          <xm:sqref>E7:E12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AV30"/>
  <sheetViews>
    <sheetView workbookViewId="0">
      <selection activeCell="A20" sqref="A20:AV64"/>
    </sheetView>
  </sheetViews>
  <sheetFormatPr defaultColWidth="14.44140625" defaultRowHeight="15.75" customHeight="1"/>
  <cols>
    <col min="48" max="48" width="14.44140625" style="53"/>
  </cols>
  <sheetData>
    <row r="1" spans="1:48" ht="15.6">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36</v>
      </c>
      <c r="AK1" s="7" t="s">
        <v>37</v>
      </c>
      <c r="AL1" s="7" t="s">
        <v>38</v>
      </c>
      <c r="AM1" s="7" t="s">
        <v>39</v>
      </c>
      <c r="AN1" s="9" t="s">
        <v>40</v>
      </c>
      <c r="AO1" s="7" t="s">
        <v>35</v>
      </c>
      <c r="AP1" s="7" t="s">
        <v>41</v>
      </c>
      <c r="AQ1" s="7" t="s">
        <v>42</v>
      </c>
      <c r="AR1" s="7" t="s">
        <v>43</v>
      </c>
      <c r="AS1" s="7" t="s">
        <v>44</v>
      </c>
      <c r="AT1" s="7" t="s">
        <v>45</v>
      </c>
      <c r="AU1" s="7" t="s">
        <v>46</v>
      </c>
      <c r="AV1" s="52" t="s">
        <v>47</v>
      </c>
    </row>
    <row r="2" spans="1:48" ht="15.75" customHeight="1">
      <c r="A2" t="s">
        <v>0</v>
      </c>
      <c r="B2" t="s">
        <v>1</v>
      </c>
      <c r="C2" t="s">
        <v>2</v>
      </c>
      <c r="D2" t="s">
        <v>3</v>
      </c>
      <c r="E2" t="s">
        <v>4</v>
      </c>
      <c r="F2">
        <v>43831</v>
      </c>
      <c r="G2">
        <v>43832</v>
      </c>
      <c r="H2">
        <v>43833</v>
      </c>
      <c r="I2">
        <v>43834</v>
      </c>
      <c r="J2">
        <v>43835</v>
      </c>
      <c r="K2">
        <v>43836</v>
      </c>
      <c r="L2">
        <v>43837</v>
      </c>
      <c r="M2">
        <v>43838</v>
      </c>
      <c r="N2">
        <v>43839</v>
      </c>
      <c r="O2">
        <v>43840</v>
      </c>
      <c r="P2">
        <v>43841</v>
      </c>
      <c r="Q2">
        <v>43842</v>
      </c>
      <c r="R2">
        <v>43843</v>
      </c>
      <c r="S2">
        <v>43844</v>
      </c>
      <c r="T2">
        <v>43845</v>
      </c>
      <c r="U2">
        <v>43846</v>
      </c>
      <c r="V2">
        <v>43847</v>
      </c>
      <c r="W2">
        <v>43848</v>
      </c>
      <c r="X2">
        <v>43849</v>
      </c>
      <c r="Y2">
        <v>43850</v>
      </c>
      <c r="Z2">
        <v>43851</v>
      </c>
      <c r="AA2">
        <v>43852</v>
      </c>
      <c r="AB2">
        <v>43853</v>
      </c>
      <c r="AC2">
        <v>43854</v>
      </c>
      <c r="AD2">
        <v>43855</v>
      </c>
      <c r="AE2">
        <v>43856</v>
      </c>
      <c r="AF2">
        <v>43857</v>
      </c>
      <c r="AG2">
        <v>43858</v>
      </c>
      <c r="AH2">
        <v>43859</v>
      </c>
      <c r="AI2">
        <v>43860</v>
      </c>
      <c r="AJ2">
        <v>43861</v>
      </c>
      <c r="AK2" t="s">
        <v>37</v>
      </c>
      <c r="AM2" t="s">
        <v>39</v>
      </c>
      <c r="AN2" t="s">
        <v>40</v>
      </c>
      <c r="AO2" t="s">
        <v>35</v>
      </c>
      <c r="AP2" t="s">
        <v>41</v>
      </c>
      <c r="AQ2" t="s">
        <v>42</v>
      </c>
      <c r="AS2" t="s">
        <v>44</v>
      </c>
      <c r="AT2" t="s">
        <v>45</v>
      </c>
      <c r="AU2" t="s">
        <v>46</v>
      </c>
      <c r="AV2" s="53" t="s">
        <v>47</v>
      </c>
    </row>
    <row r="3" spans="1:48" ht="15.75" customHeight="1">
      <c r="A3">
        <v>1</v>
      </c>
      <c r="B3">
        <v>2020</v>
      </c>
      <c r="C3" t="s">
        <v>94</v>
      </c>
      <c r="D3" t="s">
        <v>102</v>
      </c>
      <c r="E3" t="s">
        <v>75</v>
      </c>
      <c r="F3">
        <v>0</v>
      </c>
      <c r="G3">
        <v>8</v>
      </c>
      <c r="H3">
        <v>8</v>
      </c>
      <c r="K3">
        <v>8</v>
      </c>
      <c r="L3">
        <v>7</v>
      </c>
      <c r="M3">
        <v>3</v>
      </c>
      <c r="N3">
        <v>8</v>
      </c>
      <c r="O3">
        <v>8</v>
      </c>
      <c r="R3">
        <v>6</v>
      </c>
      <c r="S3">
        <v>4</v>
      </c>
      <c r="AF3">
        <v>8</v>
      </c>
      <c r="AG3">
        <v>8</v>
      </c>
      <c r="AK3">
        <v>76</v>
      </c>
      <c r="AL3" t="s">
        <v>75</v>
      </c>
      <c r="AM3" t="s">
        <v>99</v>
      </c>
      <c r="AN3" t="s">
        <v>101</v>
      </c>
      <c r="AO3">
        <v>10</v>
      </c>
      <c r="AP3">
        <v>139</v>
      </c>
      <c r="AQ3">
        <v>17</v>
      </c>
      <c r="AS3">
        <v>166</v>
      </c>
      <c r="AT3">
        <v>6.7114093959731544E-2</v>
      </c>
      <c r="AU3">
        <v>0.93288590604026844</v>
      </c>
      <c r="AV3" s="53">
        <v>43865.65121527778</v>
      </c>
    </row>
    <row r="4" spans="1:48" ht="15.75" customHeight="1">
      <c r="E4" t="s">
        <v>82</v>
      </c>
      <c r="AF4">
        <v>1</v>
      </c>
      <c r="AK4">
        <v>1</v>
      </c>
      <c r="AL4" t="s">
        <v>82</v>
      </c>
      <c r="AM4" t="s">
        <v>99</v>
      </c>
    </row>
    <row r="5" spans="1:48" ht="15.75" customHeight="1">
      <c r="E5" t="s">
        <v>74</v>
      </c>
      <c r="S5">
        <v>4</v>
      </c>
      <c r="T5">
        <v>6</v>
      </c>
      <c r="U5">
        <v>4</v>
      </c>
      <c r="V5">
        <v>8</v>
      </c>
      <c r="Z5">
        <v>9</v>
      </c>
      <c r="AA5">
        <v>7</v>
      </c>
      <c r="AB5">
        <v>8</v>
      </c>
      <c r="AC5">
        <v>8</v>
      </c>
      <c r="AK5">
        <v>54</v>
      </c>
      <c r="AL5" t="s">
        <v>74</v>
      </c>
      <c r="AM5" t="s">
        <v>99</v>
      </c>
      <c r="AN5" t="s">
        <v>100</v>
      </c>
    </row>
    <row r="6" spans="1:48" ht="15.75" customHeight="1">
      <c r="E6" t="s">
        <v>79</v>
      </c>
      <c r="L6">
        <v>1</v>
      </c>
      <c r="M6">
        <v>3</v>
      </c>
      <c r="R6">
        <v>2</v>
      </c>
      <c r="T6">
        <v>2</v>
      </c>
      <c r="AG6">
        <v>1</v>
      </c>
      <c r="AK6">
        <v>9</v>
      </c>
      <c r="AL6" t="s">
        <v>79</v>
      </c>
      <c r="AM6" t="s">
        <v>99</v>
      </c>
    </row>
    <row r="7" spans="1:48" ht="15.75" customHeight="1">
      <c r="E7" t="s">
        <v>50</v>
      </c>
      <c r="M7">
        <v>2</v>
      </c>
      <c r="U7">
        <v>4</v>
      </c>
      <c r="AA7">
        <v>2</v>
      </c>
      <c r="AB7">
        <v>2</v>
      </c>
      <c r="AK7">
        <v>10</v>
      </c>
      <c r="AL7" t="s">
        <v>50</v>
      </c>
      <c r="AM7" t="s">
        <v>99</v>
      </c>
    </row>
    <row r="8" spans="1:48" ht="15.75" customHeight="1">
      <c r="E8" t="s">
        <v>83</v>
      </c>
      <c r="F8">
        <v>8</v>
      </c>
      <c r="AJ8">
        <v>8</v>
      </c>
      <c r="AK8">
        <v>16</v>
      </c>
      <c r="AL8" t="s">
        <v>83</v>
      </c>
      <c r="AM8" t="s">
        <v>99</v>
      </c>
    </row>
    <row r="9" spans="1:48" ht="15.75" customHeight="1">
      <c r="A9" t="s">
        <v>48</v>
      </c>
      <c r="E9" t="s">
        <v>37</v>
      </c>
      <c r="F9">
        <v>8</v>
      </c>
      <c r="G9">
        <v>8</v>
      </c>
      <c r="H9">
        <v>8</v>
      </c>
      <c r="I9">
        <v>0</v>
      </c>
      <c r="J9">
        <v>0</v>
      </c>
      <c r="K9">
        <v>8</v>
      </c>
      <c r="L9">
        <v>8</v>
      </c>
      <c r="M9">
        <v>8</v>
      </c>
      <c r="N9">
        <v>8</v>
      </c>
      <c r="O9">
        <v>8</v>
      </c>
      <c r="P9">
        <v>0</v>
      </c>
      <c r="Q9">
        <v>0</v>
      </c>
      <c r="R9">
        <v>8</v>
      </c>
      <c r="S9">
        <v>8</v>
      </c>
      <c r="T9">
        <v>8</v>
      </c>
      <c r="U9">
        <v>8</v>
      </c>
      <c r="V9">
        <v>8</v>
      </c>
      <c r="W9">
        <v>0</v>
      </c>
      <c r="X9">
        <v>0</v>
      </c>
      <c r="Y9">
        <v>0</v>
      </c>
      <c r="Z9">
        <v>9</v>
      </c>
      <c r="AA9">
        <v>9</v>
      </c>
      <c r="AB9">
        <v>10</v>
      </c>
      <c r="AC9">
        <v>8</v>
      </c>
      <c r="AF9">
        <v>9</v>
      </c>
      <c r="AG9">
        <v>9</v>
      </c>
      <c r="AH9">
        <v>0</v>
      </c>
      <c r="AI9">
        <v>0</v>
      </c>
      <c r="AJ9">
        <v>8</v>
      </c>
      <c r="AK9">
        <v>166</v>
      </c>
    </row>
    <row r="10" spans="1:48" ht="15.75" customHeight="1">
      <c r="A10" t="s">
        <v>48</v>
      </c>
      <c r="E10" t="s">
        <v>49</v>
      </c>
      <c r="Z10">
        <v>1</v>
      </c>
      <c r="AA10">
        <v>1</v>
      </c>
      <c r="AB10">
        <v>2</v>
      </c>
      <c r="AC10">
        <v>0</v>
      </c>
      <c r="AF10">
        <v>1</v>
      </c>
      <c r="AG10">
        <v>1</v>
      </c>
      <c r="AH10">
        <v>-8</v>
      </c>
      <c r="AI10">
        <v>-8</v>
      </c>
      <c r="AJ10">
        <v>0</v>
      </c>
    </row>
    <row r="11" spans="1:48" ht="15.75" customHeight="1">
      <c r="A11" t="s">
        <v>0</v>
      </c>
      <c r="B11" t="s">
        <v>1</v>
      </c>
      <c r="C11" t="s">
        <v>2</v>
      </c>
      <c r="D11" t="s">
        <v>3</v>
      </c>
      <c r="E11" t="s">
        <v>4</v>
      </c>
      <c r="F11">
        <v>43831</v>
      </c>
      <c r="G11">
        <v>43832</v>
      </c>
      <c r="H11">
        <v>43833</v>
      </c>
      <c r="I11">
        <v>43834</v>
      </c>
      <c r="J11">
        <v>43835</v>
      </c>
      <c r="K11">
        <v>43836</v>
      </c>
      <c r="L11">
        <v>43837</v>
      </c>
      <c r="M11">
        <v>43838</v>
      </c>
      <c r="N11">
        <v>43839</v>
      </c>
      <c r="O11">
        <v>43840</v>
      </c>
      <c r="P11">
        <v>43841</v>
      </c>
      <c r="Q11">
        <v>43842</v>
      </c>
      <c r="R11">
        <v>43843</v>
      </c>
      <c r="S11">
        <v>43844</v>
      </c>
      <c r="T11">
        <v>43845</v>
      </c>
      <c r="U11">
        <v>43846</v>
      </c>
      <c r="V11">
        <v>43847</v>
      </c>
      <c r="W11">
        <v>43848</v>
      </c>
      <c r="X11">
        <v>43849</v>
      </c>
      <c r="Y11">
        <v>43850</v>
      </c>
      <c r="Z11">
        <v>43851</v>
      </c>
      <c r="AA11">
        <v>43852</v>
      </c>
      <c r="AB11">
        <v>43853</v>
      </c>
      <c r="AC11">
        <v>43854</v>
      </c>
      <c r="AD11">
        <v>43855</v>
      </c>
      <c r="AE11">
        <v>43856</v>
      </c>
      <c r="AF11">
        <v>43857</v>
      </c>
      <c r="AG11">
        <v>43858</v>
      </c>
      <c r="AH11">
        <v>43859</v>
      </c>
      <c r="AI11">
        <v>43860</v>
      </c>
      <c r="AJ11">
        <v>43861</v>
      </c>
      <c r="AK11" t="s">
        <v>37</v>
      </c>
      <c r="AM11" t="s">
        <v>39</v>
      </c>
      <c r="AN11" t="s">
        <v>40</v>
      </c>
      <c r="AO11" t="s">
        <v>35</v>
      </c>
      <c r="AP11" t="s">
        <v>41</v>
      </c>
      <c r="AQ11" t="s">
        <v>42</v>
      </c>
      <c r="AS11" t="s">
        <v>44</v>
      </c>
      <c r="AT11" t="s">
        <v>45</v>
      </c>
      <c r="AU11" t="s">
        <v>46</v>
      </c>
      <c r="AV11" s="53" t="s">
        <v>47</v>
      </c>
    </row>
    <row r="12" spans="1:48" ht="15.75" customHeight="1">
      <c r="A12">
        <v>1</v>
      </c>
      <c r="B12">
        <v>2020</v>
      </c>
      <c r="C12" t="s">
        <v>94</v>
      </c>
      <c r="D12" t="s">
        <v>102</v>
      </c>
      <c r="E12" t="s">
        <v>75</v>
      </c>
      <c r="F12">
        <v>0</v>
      </c>
      <c r="G12">
        <v>8</v>
      </c>
      <c r="H12">
        <v>8</v>
      </c>
      <c r="K12">
        <v>8</v>
      </c>
      <c r="L12">
        <v>7</v>
      </c>
      <c r="M12">
        <v>3</v>
      </c>
      <c r="N12">
        <v>8</v>
      </c>
      <c r="O12">
        <v>8</v>
      </c>
      <c r="R12">
        <v>6</v>
      </c>
      <c r="S12">
        <v>4</v>
      </c>
      <c r="AF12">
        <v>8</v>
      </c>
      <c r="AG12">
        <v>8</v>
      </c>
      <c r="AH12">
        <v>6</v>
      </c>
      <c r="AI12">
        <v>7</v>
      </c>
      <c r="AK12">
        <v>89</v>
      </c>
      <c r="AL12" t="s">
        <v>75</v>
      </c>
      <c r="AM12" t="s">
        <v>99</v>
      </c>
      <c r="AN12" t="s">
        <v>101</v>
      </c>
      <c r="AO12">
        <v>13</v>
      </c>
      <c r="AP12">
        <v>154</v>
      </c>
      <c r="AQ12">
        <v>17</v>
      </c>
      <c r="AS12">
        <v>184</v>
      </c>
      <c r="AT12">
        <v>7.7844311377245512E-2</v>
      </c>
      <c r="AU12">
        <v>0.92215568862275454</v>
      </c>
      <c r="AV12" s="53">
        <v>43866.345439814817</v>
      </c>
    </row>
    <row r="13" spans="1:48" ht="15.75" customHeight="1">
      <c r="E13" t="s">
        <v>82</v>
      </c>
      <c r="AF13">
        <v>1</v>
      </c>
      <c r="AK13">
        <v>1</v>
      </c>
      <c r="AL13" t="s">
        <v>82</v>
      </c>
      <c r="AM13" t="s">
        <v>99</v>
      </c>
    </row>
    <row r="14" spans="1:48" ht="15.75" customHeight="1">
      <c r="E14" t="s">
        <v>74</v>
      </c>
      <c r="S14">
        <v>4</v>
      </c>
      <c r="T14">
        <v>6</v>
      </c>
      <c r="U14">
        <v>4</v>
      </c>
      <c r="V14">
        <v>8</v>
      </c>
      <c r="Z14">
        <v>9</v>
      </c>
      <c r="AA14">
        <v>7</v>
      </c>
      <c r="AB14">
        <v>8</v>
      </c>
      <c r="AC14">
        <v>8</v>
      </c>
      <c r="AK14">
        <v>54</v>
      </c>
      <c r="AL14" t="s">
        <v>74</v>
      </c>
      <c r="AM14" t="s">
        <v>99</v>
      </c>
      <c r="AN14" t="s">
        <v>100</v>
      </c>
    </row>
    <row r="15" spans="1:48" ht="15.75" customHeight="1">
      <c r="E15" t="s">
        <v>79</v>
      </c>
      <c r="L15">
        <v>1</v>
      </c>
      <c r="M15">
        <v>3</v>
      </c>
      <c r="R15">
        <v>2</v>
      </c>
      <c r="T15">
        <v>2</v>
      </c>
      <c r="AG15">
        <v>1</v>
      </c>
      <c r="AH15">
        <v>2</v>
      </c>
      <c r="AK15">
        <v>11</v>
      </c>
      <c r="AL15" t="s">
        <v>79</v>
      </c>
      <c r="AM15" t="s">
        <v>99</v>
      </c>
    </row>
    <row r="16" spans="1:48" ht="15.75" customHeight="1">
      <c r="E16" t="s">
        <v>50</v>
      </c>
      <c r="M16">
        <v>2</v>
      </c>
      <c r="U16">
        <v>4</v>
      </c>
      <c r="AA16">
        <v>2</v>
      </c>
      <c r="AB16">
        <v>2</v>
      </c>
      <c r="AH16">
        <v>2</v>
      </c>
      <c r="AI16">
        <v>1</v>
      </c>
      <c r="AK16">
        <v>13</v>
      </c>
      <c r="AL16" t="s">
        <v>50</v>
      </c>
      <c r="AM16" t="s">
        <v>99</v>
      </c>
    </row>
    <row r="17" spans="1:48" ht="15.75" customHeight="1">
      <c r="E17" t="s">
        <v>83</v>
      </c>
      <c r="F17">
        <v>8</v>
      </c>
      <c r="AJ17">
        <v>8</v>
      </c>
      <c r="AK17">
        <v>16</v>
      </c>
      <c r="AL17" t="s">
        <v>83</v>
      </c>
      <c r="AM17" t="s">
        <v>99</v>
      </c>
    </row>
    <row r="18" spans="1:48" ht="15.75" customHeight="1">
      <c r="A18" t="s">
        <v>48</v>
      </c>
      <c r="E18" t="s">
        <v>37</v>
      </c>
      <c r="F18">
        <v>8</v>
      </c>
      <c r="G18">
        <v>8</v>
      </c>
      <c r="H18">
        <v>8</v>
      </c>
      <c r="I18">
        <v>0</v>
      </c>
      <c r="J18">
        <v>0</v>
      </c>
      <c r="K18">
        <v>8</v>
      </c>
      <c r="L18">
        <v>8</v>
      </c>
      <c r="M18">
        <v>8</v>
      </c>
      <c r="N18">
        <v>8</v>
      </c>
      <c r="O18">
        <v>8</v>
      </c>
      <c r="P18">
        <v>0</v>
      </c>
      <c r="Q18">
        <v>0</v>
      </c>
      <c r="R18">
        <v>8</v>
      </c>
      <c r="S18">
        <v>8</v>
      </c>
      <c r="T18">
        <v>8</v>
      </c>
      <c r="U18">
        <v>8</v>
      </c>
      <c r="V18">
        <v>8</v>
      </c>
      <c r="W18">
        <v>0</v>
      </c>
      <c r="X18">
        <v>0</v>
      </c>
      <c r="Y18">
        <v>0</v>
      </c>
      <c r="Z18">
        <v>9</v>
      </c>
      <c r="AA18">
        <v>9</v>
      </c>
      <c r="AB18">
        <v>10</v>
      </c>
      <c r="AC18">
        <v>8</v>
      </c>
      <c r="AF18">
        <v>9</v>
      </c>
      <c r="AG18">
        <v>9</v>
      </c>
      <c r="AH18">
        <v>10</v>
      </c>
      <c r="AI18">
        <v>8</v>
      </c>
      <c r="AJ18">
        <v>8</v>
      </c>
      <c r="AK18">
        <v>184</v>
      </c>
    </row>
    <row r="19" spans="1:48" ht="15.75" customHeight="1">
      <c r="A19" t="s">
        <v>48</v>
      </c>
      <c r="E19" t="s">
        <v>49</v>
      </c>
    </row>
    <row r="20" spans="1:48" ht="15.75" customHeight="1">
      <c r="A20" t="s">
        <v>0</v>
      </c>
      <c r="B20" t="s">
        <v>1</v>
      </c>
      <c r="C20" t="s">
        <v>2</v>
      </c>
      <c r="D20" t="s">
        <v>3</v>
      </c>
      <c r="E20" t="s">
        <v>4</v>
      </c>
      <c r="F20">
        <v>43862</v>
      </c>
      <c r="G20">
        <v>43863</v>
      </c>
      <c r="H20">
        <v>43864</v>
      </c>
      <c r="I20">
        <v>43865</v>
      </c>
      <c r="J20">
        <v>43866</v>
      </c>
      <c r="K20">
        <v>43867</v>
      </c>
      <c r="L20">
        <v>43868</v>
      </c>
      <c r="M20">
        <v>43869</v>
      </c>
      <c r="N20">
        <v>43870</v>
      </c>
      <c r="O20">
        <v>43871</v>
      </c>
      <c r="P20">
        <v>43872</v>
      </c>
      <c r="Q20">
        <v>43873</v>
      </c>
      <c r="R20">
        <v>43874</v>
      </c>
      <c r="S20">
        <v>43875</v>
      </c>
      <c r="T20">
        <v>43876</v>
      </c>
      <c r="U20">
        <v>43877</v>
      </c>
      <c r="V20">
        <v>43878</v>
      </c>
      <c r="W20">
        <v>43879</v>
      </c>
      <c r="X20">
        <v>43880</v>
      </c>
      <c r="Y20">
        <v>43881</v>
      </c>
      <c r="Z20">
        <v>43882</v>
      </c>
      <c r="AA20">
        <v>43883</v>
      </c>
      <c r="AB20">
        <v>43884</v>
      </c>
      <c r="AC20">
        <v>43885</v>
      </c>
      <c r="AD20">
        <v>43886</v>
      </c>
      <c r="AE20">
        <v>43887</v>
      </c>
      <c r="AF20">
        <v>43888</v>
      </c>
      <c r="AG20">
        <v>43889</v>
      </c>
      <c r="AH20">
        <v>43890</v>
      </c>
      <c r="AI20">
        <v>43891</v>
      </c>
      <c r="AJ20">
        <v>43892</v>
      </c>
      <c r="AK20" t="s">
        <v>37</v>
      </c>
      <c r="AM20" t="s">
        <v>39</v>
      </c>
      <c r="AN20" t="s">
        <v>40</v>
      </c>
      <c r="AO20" t="s">
        <v>35</v>
      </c>
      <c r="AP20" t="s">
        <v>41</v>
      </c>
      <c r="AQ20" t="s">
        <v>42</v>
      </c>
      <c r="AS20" t="s">
        <v>44</v>
      </c>
      <c r="AT20" t="s">
        <v>45</v>
      </c>
      <c r="AU20" t="s">
        <v>46</v>
      </c>
      <c r="AV20" s="53" t="s">
        <v>47</v>
      </c>
    </row>
    <row r="21" spans="1:48" ht="15.75" customHeight="1">
      <c r="A21">
        <v>2</v>
      </c>
      <c r="B21">
        <v>2020</v>
      </c>
      <c r="C21" t="s">
        <v>106</v>
      </c>
      <c r="D21" t="s">
        <v>108</v>
      </c>
      <c r="E21" t="s">
        <v>74</v>
      </c>
      <c r="J21">
        <v>7</v>
      </c>
      <c r="K21">
        <v>8</v>
      </c>
      <c r="L21">
        <v>8</v>
      </c>
      <c r="Q21">
        <v>8</v>
      </c>
      <c r="R21">
        <v>8</v>
      </c>
      <c r="S21">
        <v>6</v>
      </c>
      <c r="Y21">
        <v>3</v>
      </c>
      <c r="Z21">
        <v>1</v>
      </c>
      <c r="AK21">
        <v>49</v>
      </c>
      <c r="AL21" t="s">
        <v>74</v>
      </c>
      <c r="AM21" t="s">
        <v>99</v>
      </c>
      <c r="AN21" t="s">
        <v>103</v>
      </c>
      <c r="AO21">
        <v>82</v>
      </c>
      <c r="AP21">
        <v>54</v>
      </c>
      <c r="AQ21">
        <v>24</v>
      </c>
      <c r="AS21">
        <v>160</v>
      </c>
      <c r="AT21">
        <v>0.6029411764705882</v>
      </c>
      <c r="AU21">
        <v>0.39705882352941174</v>
      </c>
      <c r="AV21" s="53">
        <v>43892.467986111114</v>
      </c>
    </row>
    <row r="22" spans="1:48" ht="15.75" customHeight="1">
      <c r="E22" t="s">
        <v>79</v>
      </c>
      <c r="W22">
        <v>2</v>
      </c>
      <c r="X22">
        <v>3</v>
      </c>
      <c r="AK22">
        <v>5</v>
      </c>
      <c r="AL22" t="s">
        <v>79</v>
      </c>
      <c r="AM22" t="s">
        <v>99</v>
      </c>
    </row>
    <row r="23" spans="1:48" ht="15.75" customHeight="1">
      <c r="E23" t="s">
        <v>58</v>
      </c>
      <c r="W23">
        <v>6</v>
      </c>
      <c r="X23">
        <v>4</v>
      </c>
      <c r="Y23">
        <v>4</v>
      </c>
      <c r="Z23">
        <v>6</v>
      </c>
      <c r="AC23">
        <v>8</v>
      </c>
      <c r="AD23">
        <v>8</v>
      </c>
      <c r="AE23">
        <v>8</v>
      </c>
      <c r="AF23">
        <v>8</v>
      </c>
      <c r="AG23">
        <v>8</v>
      </c>
      <c r="AK23">
        <v>60</v>
      </c>
      <c r="AL23" t="s">
        <v>58</v>
      </c>
      <c r="AM23" t="s">
        <v>99</v>
      </c>
    </row>
    <row r="24" spans="1:48" ht="15.75" customHeight="1">
      <c r="E24" t="s">
        <v>105</v>
      </c>
      <c r="J24">
        <v>1</v>
      </c>
      <c r="Q24">
        <v>1</v>
      </c>
      <c r="R24">
        <v>1</v>
      </c>
      <c r="X24">
        <v>1</v>
      </c>
      <c r="AK24">
        <v>4</v>
      </c>
      <c r="AL24" t="s">
        <v>105</v>
      </c>
      <c r="AM24" t="s">
        <v>99</v>
      </c>
      <c r="AN24" t="s">
        <v>107</v>
      </c>
    </row>
    <row r="25" spans="1:48" ht="15.75" customHeight="1">
      <c r="E25" t="s">
        <v>96</v>
      </c>
      <c r="O25">
        <v>8</v>
      </c>
      <c r="P25">
        <v>8</v>
      </c>
      <c r="AK25">
        <v>16</v>
      </c>
      <c r="AL25" t="s">
        <v>96</v>
      </c>
      <c r="AM25" t="s">
        <v>99</v>
      </c>
      <c r="AN25" t="s">
        <v>104</v>
      </c>
    </row>
    <row r="26" spans="1:48" ht="15.75" customHeight="1">
      <c r="E26" t="s">
        <v>50</v>
      </c>
      <c r="Y26">
        <v>1</v>
      </c>
      <c r="Z26">
        <v>1</v>
      </c>
      <c r="AK26">
        <v>2</v>
      </c>
      <c r="AL26" t="s">
        <v>50</v>
      </c>
      <c r="AM26" t="s">
        <v>99</v>
      </c>
    </row>
    <row r="27" spans="1:48" ht="15.75" customHeight="1">
      <c r="E27" t="s">
        <v>82</v>
      </c>
      <c r="AK27">
        <v>0</v>
      </c>
      <c r="AL27" t="s">
        <v>82</v>
      </c>
      <c r="AM27" t="s">
        <v>99</v>
      </c>
    </row>
    <row r="28" spans="1:48" ht="15.75" customHeight="1">
      <c r="E28" t="s">
        <v>83</v>
      </c>
      <c r="H28">
        <v>8</v>
      </c>
      <c r="I28">
        <v>8</v>
      </c>
      <c r="V28">
        <v>8</v>
      </c>
      <c r="AK28">
        <v>24</v>
      </c>
      <c r="AL28" t="s">
        <v>83</v>
      </c>
      <c r="AM28" t="s">
        <v>99</v>
      </c>
    </row>
    <row r="29" spans="1:48" ht="15.75" customHeight="1">
      <c r="A29" t="s">
        <v>48</v>
      </c>
      <c r="E29" t="s">
        <v>37</v>
      </c>
      <c r="F29">
        <v>0</v>
      </c>
      <c r="G29">
        <v>0</v>
      </c>
      <c r="H29">
        <v>8</v>
      </c>
      <c r="I29">
        <v>8</v>
      </c>
      <c r="J29">
        <v>8</v>
      </c>
      <c r="K29">
        <v>8</v>
      </c>
      <c r="L29">
        <v>8</v>
      </c>
      <c r="M29">
        <v>0</v>
      </c>
      <c r="N29">
        <v>0</v>
      </c>
      <c r="O29">
        <v>8</v>
      </c>
      <c r="P29">
        <v>8</v>
      </c>
      <c r="Q29">
        <v>9</v>
      </c>
      <c r="R29">
        <v>9</v>
      </c>
      <c r="S29">
        <v>6</v>
      </c>
      <c r="T29">
        <v>0</v>
      </c>
      <c r="U29">
        <v>0</v>
      </c>
      <c r="V29">
        <v>8</v>
      </c>
      <c r="W29">
        <v>8</v>
      </c>
      <c r="X29">
        <v>8</v>
      </c>
      <c r="Y29">
        <v>8</v>
      </c>
      <c r="Z29">
        <v>8</v>
      </c>
      <c r="AA29">
        <v>0</v>
      </c>
      <c r="AB29">
        <v>0</v>
      </c>
      <c r="AC29">
        <v>8</v>
      </c>
      <c r="AF29">
        <v>8</v>
      </c>
      <c r="AG29">
        <v>8</v>
      </c>
      <c r="AH29">
        <v>0</v>
      </c>
      <c r="AI29">
        <v>0</v>
      </c>
      <c r="AJ29">
        <v>0</v>
      </c>
      <c r="AK29">
        <v>160</v>
      </c>
    </row>
    <row r="30" spans="1:48" ht="15.75" customHeight="1">
      <c r="A30" t="s">
        <v>48</v>
      </c>
      <c r="E30" t="s">
        <v>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48"/>
  <sheetViews>
    <sheetView workbookViewId="0">
      <selection activeCell="A3" sqref="A3"/>
    </sheetView>
  </sheetViews>
  <sheetFormatPr defaultRowHeight="13.2"/>
  <sheetData>
    <row r="1" spans="1:1">
      <c r="A1" s="56" t="s">
        <v>50</v>
      </c>
    </row>
    <row r="2" spans="1:1">
      <c r="A2" s="56" t="s">
        <v>105</v>
      </c>
    </row>
    <row r="3" spans="1:1">
      <c r="A3" s="56" t="s">
        <v>51</v>
      </c>
    </row>
    <row r="4" spans="1:1">
      <c r="A4" s="56" t="s">
        <v>85</v>
      </c>
    </row>
    <row r="5" spans="1:1">
      <c r="A5" s="56" t="s">
        <v>86</v>
      </c>
    </row>
    <row r="6" spans="1:1">
      <c r="A6" s="56" t="s">
        <v>87</v>
      </c>
    </row>
    <row r="7" spans="1:1">
      <c r="A7" s="56" t="s">
        <v>52</v>
      </c>
    </row>
    <row r="8" spans="1:1">
      <c r="A8" s="56" t="s">
        <v>53</v>
      </c>
    </row>
    <row r="9" spans="1:1">
      <c r="A9" s="56" t="s">
        <v>54</v>
      </c>
    </row>
    <row r="10" spans="1:1">
      <c r="A10" s="56" t="s">
        <v>55</v>
      </c>
    </row>
    <row r="11" spans="1:1">
      <c r="A11" s="56" t="s">
        <v>56</v>
      </c>
    </row>
    <row r="12" spans="1:1">
      <c r="A12" s="56" t="s">
        <v>57</v>
      </c>
    </row>
    <row r="13" spans="1:1">
      <c r="A13" s="56" t="s">
        <v>58</v>
      </c>
    </row>
    <row r="14" spans="1:1">
      <c r="A14" s="56" t="s">
        <v>59</v>
      </c>
    </row>
    <row r="15" spans="1:1">
      <c r="A15" s="56" t="s">
        <v>60</v>
      </c>
    </row>
    <row r="16" spans="1:1">
      <c r="A16" s="56" t="s">
        <v>61</v>
      </c>
    </row>
    <row r="17" spans="1:1">
      <c r="A17" s="56" t="s">
        <v>62</v>
      </c>
    </row>
    <row r="18" spans="1:1">
      <c r="A18" s="56" t="s">
        <v>63</v>
      </c>
    </row>
    <row r="19" spans="1:1">
      <c r="A19" s="56" t="s">
        <v>64</v>
      </c>
    </row>
    <row r="20" spans="1:1">
      <c r="A20" s="56" t="s">
        <v>65</v>
      </c>
    </row>
    <row r="21" spans="1:1">
      <c r="A21" s="56" t="s">
        <v>66</v>
      </c>
    </row>
    <row r="22" spans="1:1">
      <c r="A22" s="56" t="s">
        <v>67</v>
      </c>
    </row>
    <row r="23" spans="1:1">
      <c r="A23" s="56" t="s">
        <v>68</v>
      </c>
    </row>
    <row r="24" spans="1:1">
      <c r="A24" s="56" t="s">
        <v>69</v>
      </c>
    </row>
    <row r="25" spans="1:1">
      <c r="A25" s="56" t="s">
        <v>70</v>
      </c>
    </row>
    <row r="26" spans="1:1">
      <c r="A26" s="56" t="s">
        <v>71</v>
      </c>
    </row>
    <row r="27" spans="1:1">
      <c r="A27" s="56" t="s">
        <v>72</v>
      </c>
    </row>
    <row r="28" spans="1:1">
      <c r="A28" s="56" t="s">
        <v>73</v>
      </c>
    </row>
    <row r="29" spans="1:1">
      <c r="A29" s="56" t="s">
        <v>95</v>
      </c>
    </row>
    <row r="30" spans="1:1">
      <c r="A30" s="56" t="s">
        <v>88</v>
      </c>
    </row>
    <row r="31" spans="1:1">
      <c r="A31" s="56" t="s">
        <v>74</v>
      </c>
    </row>
    <row r="32" spans="1:1">
      <c r="A32" s="56" t="s">
        <v>98</v>
      </c>
    </row>
    <row r="33" spans="1:1">
      <c r="A33" s="56" t="s">
        <v>91</v>
      </c>
    </row>
    <row r="34" spans="1:1">
      <c r="A34" s="56" t="s">
        <v>75</v>
      </c>
    </row>
    <row r="35" spans="1:1">
      <c r="A35" s="56" t="s">
        <v>76</v>
      </c>
    </row>
    <row r="36" spans="1:1">
      <c r="A36" s="56" t="s">
        <v>93</v>
      </c>
    </row>
    <row r="37" spans="1:1">
      <c r="A37" s="56" t="s">
        <v>84</v>
      </c>
    </row>
    <row r="38" spans="1:1">
      <c r="A38" s="56" t="s">
        <v>77</v>
      </c>
    </row>
    <row r="39" spans="1:1">
      <c r="A39" s="56" t="s">
        <v>78</v>
      </c>
    </row>
    <row r="40" spans="1:1">
      <c r="A40" s="56" t="s">
        <v>79</v>
      </c>
    </row>
    <row r="41" spans="1:1">
      <c r="A41" s="56" t="s">
        <v>80</v>
      </c>
    </row>
    <row r="42" spans="1:1">
      <c r="A42" s="56" t="s">
        <v>81</v>
      </c>
    </row>
    <row r="43" spans="1:1">
      <c r="A43" s="56" t="s">
        <v>92</v>
      </c>
    </row>
    <row r="44" spans="1:1">
      <c r="A44" s="56" t="s">
        <v>97</v>
      </c>
    </row>
    <row r="45" spans="1:1">
      <c r="A45" s="56" t="s">
        <v>96</v>
      </c>
    </row>
    <row r="46" spans="1:1">
      <c r="A46" s="56" t="s">
        <v>82</v>
      </c>
    </row>
    <row r="47" spans="1:1">
      <c r="A47" s="56" t="s">
        <v>83</v>
      </c>
    </row>
    <row r="48" spans="1:1">
      <c r="A48" s="56" t="s">
        <v>89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F8FDB17EA8D824EAC8CF57DE0555030" ma:contentTypeVersion="11" ma:contentTypeDescription="Create a new document." ma:contentTypeScope="" ma:versionID="a97748e2da2ee954a1f7cbe6f48d6bcf">
  <xsd:schema xmlns:xsd="http://www.w3.org/2001/XMLSchema" xmlns:xs="http://www.w3.org/2001/XMLSchema" xmlns:p="http://schemas.microsoft.com/office/2006/metadata/properties" xmlns:ns2="fc47652f-73a8-48ef-be6c-b836aab274ca" xmlns:ns3="1ef09ff2-2e9d-4a2c-946b-e898d1cc0ee0" targetNamespace="http://schemas.microsoft.com/office/2006/metadata/properties" ma:root="true" ma:fieldsID="a947f438d5b2a910722a18ca8520aea3" ns2:_="" ns3:_="">
    <xsd:import namespace="fc47652f-73a8-48ef-be6c-b836aab274ca"/>
    <xsd:import namespace="1ef09ff2-2e9d-4a2c-946b-e898d1cc0ee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47652f-73a8-48ef-be6c-b836aab274c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f09ff2-2e9d-4a2c-946b-e898d1cc0ee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fc47652f-73a8-48ef-be6c-b836aab274ca">
      <UserInfo>
        <DisplayName>Flippin, Tia L</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A4F2C59-FD3F-45FD-B64B-BAC14DCC51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47652f-73a8-48ef-be6c-b836aab274ca"/>
    <ds:schemaRef ds:uri="1ef09ff2-2e9d-4a2c-946b-e898d1cc0e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F6A8D46-0D51-434A-B406-79D47E9FA130}">
  <ds:schemaRefs>
    <ds:schemaRef ds:uri="http://purl.org/dc/terms/"/>
    <ds:schemaRef ds:uri="http://schemas.openxmlformats.org/package/2006/metadata/core-properties"/>
    <ds:schemaRef ds:uri="http://purl.org/dc/dcmitype/"/>
    <ds:schemaRef ds:uri="http://schemas.microsoft.com/office/2006/documentManagement/types"/>
    <ds:schemaRef ds:uri="fc47652f-73a8-48ef-be6c-b836aab274ca"/>
    <ds:schemaRef ds:uri="http://purl.org/dc/elements/1.1/"/>
    <ds:schemaRef ds:uri="http://schemas.microsoft.com/office/2006/metadata/properties"/>
    <ds:schemaRef ds:uri="http://schemas.microsoft.com/office/infopath/2007/PartnerControls"/>
    <ds:schemaRef ds:uri="1ef09ff2-2e9d-4a2c-946b-e898d1cc0ee0"/>
    <ds:schemaRef ds:uri="http://www.w3.org/XML/1998/namespace"/>
  </ds:schemaRefs>
</ds:datastoreItem>
</file>

<file path=customXml/itemProps3.xml><?xml version="1.0" encoding="utf-8"?>
<ds:datastoreItem xmlns:ds="http://schemas.openxmlformats.org/officeDocument/2006/customXml" ds:itemID="{60130F72-682B-4C86-8F3D-EB39DEDC223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TaskingSheet</vt:lpstr>
      <vt:lpstr>Archive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Boyd, Alec K</dc:creator>
  <cp:lastModifiedBy>Flippin, Tia L</cp:lastModifiedBy>
  <dcterms:created xsi:type="dcterms:W3CDTF">2019-07-09T14:54:24Z</dcterms:created>
  <dcterms:modified xsi:type="dcterms:W3CDTF">2020-03-03T01:48:53Z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0x0101006F8FDB17EA8D824EAC8CF57DE0555030</vt:lpwstr>
  </property>
</Properties>
</file>